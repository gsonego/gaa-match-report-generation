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'Claims'!$A$1:$G$147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8CBAD"/>
      </patternFill>
    </fill>
    <fill>
      <patternFill patternType="solid">
        <fgColor rgb="00EDEDED"/>
      </patternFill>
    </fill>
    <fill>
      <patternFill patternType="solid">
        <fgColor rgb="00FFE69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70" customWidth="1" min="3" max="3"/>
    <col width="16" customWidth="1" min="4" max="4"/>
    <col width="24" customWidth="1" min="5" max="5"/>
    <col width="16" customWidth="1" min="6" max="6"/>
    <col width="60" customWidth="1" min="7" max="7"/>
  </cols>
  <sheetData>
    <row r="1">
      <c r="A1" s="1" t="inlineStr">
        <is>
          <t>#</t>
        </is>
      </c>
      <c r="B1" s="1" t="inlineStr">
        <is>
          <t>Game</t>
        </is>
      </c>
      <c r="C1" s="1" t="inlineStr">
        <is>
          <t>Claim (as written, shortened)</t>
        </is>
      </c>
      <c r="D1" s="1" t="inlineStr">
        <is>
          <t>Claim type</t>
        </is>
      </c>
      <c r="E1" s="1" t="inlineStr">
        <is>
          <t>Verdict</t>
        </is>
      </c>
      <c r="F1" s="1" t="inlineStr">
        <is>
          <t>Error type</t>
        </is>
      </c>
      <c r="G1" s="1" t="inlineStr">
        <is>
          <t>Note</t>
        </is>
      </c>
    </row>
    <row r="2">
      <c r="A2" s="2" t="n">
        <v>1</v>
      </c>
      <c r="B2" s="2" t="n">
        <v>1</v>
      </c>
      <c r="C2" s="2" t="inlineStr">
        <is>
          <t>Mayo 2-14 Galway 2-8</t>
        </is>
      </c>
      <c r="D2" s="2" t="inlineStr">
        <is>
          <t>final score</t>
        </is>
      </c>
      <c r="E2" s="2" t="inlineStr">
        <is>
          <t>ok</t>
        </is>
      </c>
      <c r="F2" s="2" t="inlineStr"/>
      <c r="G2" s="2" t="inlineStr"/>
    </row>
    <row r="3">
      <c r="A3" s="2" t="n">
        <v>2</v>
      </c>
      <c r="B3" s="2" t="n">
        <v>1</v>
      </c>
      <c r="C3" s="2" t="inlineStr">
        <is>
          <t>Mayo won / claimed the Connacht title</t>
        </is>
      </c>
      <c r="D3" s="2" t="inlineStr">
        <is>
          <t>winner</t>
        </is>
      </c>
      <c r="E3" s="2" t="inlineStr">
        <is>
          <t>ok</t>
        </is>
      </c>
      <c r="F3" s="2" t="inlineStr"/>
      <c r="G3" s="2" t="inlineStr"/>
    </row>
    <row r="4">
      <c r="A4" s="2" t="n">
        <v>3</v>
      </c>
      <c r="B4" s="2" t="n">
        <v>1</v>
      </c>
      <c r="C4" s="2" t="inlineStr">
        <is>
          <t>six-point victory</t>
        </is>
      </c>
      <c r="D4" s="2" t="inlineStr">
        <is>
          <t>margin</t>
        </is>
      </c>
      <c r="E4" s="2" t="inlineStr">
        <is>
          <t>ok</t>
        </is>
      </c>
      <c r="F4" s="2" t="inlineStr"/>
      <c r="G4" s="2" t="inlineStr"/>
    </row>
    <row r="5">
      <c r="A5" s="2" t="n">
        <v>4</v>
      </c>
      <c r="B5" s="2" t="n">
        <v>1</v>
      </c>
      <c r="C5" s="2" t="inlineStr">
        <is>
          <t>Sunday, July 25</t>
        </is>
      </c>
      <c r="D5" s="2" t="inlineStr">
        <is>
          <t>date</t>
        </is>
      </c>
      <c r="E5" s="2" t="inlineStr">
        <is>
          <t>ok</t>
        </is>
      </c>
      <c r="F5" s="2" t="inlineStr"/>
      <c r="G5" s="2" t="inlineStr">
        <is>
          <t>weekday is not in the input; computed and correct</t>
        </is>
      </c>
    </row>
    <row r="6">
      <c r="A6" s="2" t="n">
        <v>5</v>
      </c>
      <c r="B6" s="2" t="n">
        <v>1</v>
      </c>
      <c r="C6" s="2" t="inlineStr">
        <is>
          <t>O'Donoghue and Ruane contributed 2-5 between them</t>
        </is>
      </c>
      <c r="D6" s="2" t="inlineStr">
        <is>
          <t>scorer total</t>
        </is>
      </c>
      <c r="E6" s="2" t="inlineStr">
        <is>
          <t>ok</t>
        </is>
      </c>
      <c r="F6" s="2" t="inlineStr"/>
      <c r="G6" s="2" t="inlineStr"/>
    </row>
    <row r="7">
      <c r="A7" s="2" t="n">
        <v>6</v>
      </c>
      <c r="B7" s="2" t="n">
        <v>1</v>
      </c>
      <c r="C7" s="2" t="inlineStr">
        <is>
          <t>O'Donoghue 1-3, including a penalty and two pointed frees</t>
        </is>
      </c>
      <c r="D7" s="2" t="inlineStr">
        <is>
          <t>scorer detail</t>
        </is>
      </c>
      <c r="E7" s="2" t="inlineStr">
        <is>
          <t>ok</t>
        </is>
      </c>
      <c r="F7" s="2" t="inlineStr"/>
      <c r="G7" s="2" t="inlineStr"/>
    </row>
    <row r="8">
      <c r="A8" s="2" t="n">
        <v>7</v>
      </c>
      <c r="B8" s="2" t="n">
        <v>1</v>
      </c>
      <c r="C8" s="2" t="inlineStr">
        <is>
          <t>Ruane 1-2</t>
        </is>
      </c>
      <c r="D8" s="2" t="inlineStr">
        <is>
          <t>scorer total</t>
        </is>
      </c>
      <c r="E8" s="2" t="inlineStr">
        <is>
          <t>ok</t>
        </is>
      </c>
      <c r="F8" s="2" t="inlineStr"/>
      <c r="G8" s="2" t="inlineStr"/>
    </row>
    <row r="9">
      <c r="A9" s="3" t="n">
        <v>8</v>
      </c>
      <c r="B9" s="3" t="n">
        <v>1</v>
      </c>
      <c r="C9" s="3" t="inlineStr">
        <is>
          <t>10 Mayo players on the scoresheet (repeated as "Mayo's 10")</t>
        </is>
      </c>
      <c r="D9" s="3" t="inlineStr">
        <is>
          <t>count</t>
        </is>
      </c>
      <c r="E9" s="3" t="inlineStr">
        <is>
          <t>error</t>
        </is>
      </c>
      <c r="F9" s="3" t="inlineStr">
        <is>
          <t>wrong count</t>
        </is>
      </c>
      <c r="G9" s="3" t="inlineStr">
        <is>
          <t>the data lists 9 Mayo scorers</t>
        </is>
      </c>
    </row>
    <row r="10">
      <c r="A10" s="2" t="n">
        <v>9</v>
      </c>
      <c r="B10" s="2" t="n">
        <v>1</v>
      </c>
      <c r="C10" s="2" t="inlineStr">
        <is>
          <t>Loftus and Conroy two points each</t>
        </is>
      </c>
      <c r="D10" s="2" t="inlineStr">
        <is>
          <t>scorer total</t>
        </is>
      </c>
      <c r="E10" s="2" t="inlineStr">
        <is>
          <t>ok</t>
        </is>
      </c>
      <c r="F10" s="2" t="inlineStr"/>
      <c r="G10" s="2" t="inlineStr"/>
    </row>
    <row r="11">
      <c r="A11" s="2" t="n">
        <v>10</v>
      </c>
      <c r="B11" s="2" t="n">
        <v>1</v>
      </c>
      <c r="C11" s="2" t="inlineStr">
        <is>
          <t>Hennelly converted a '45</t>
        </is>
      </c>
      <c r="D11" s="2" t="inlineStr">
        <is>
          <t>scorer detail</t>
        </is>
      </c>
      <c r="E11" s="2" t="inlineStr">
        <is>
          <t>ok</t>
        </is>
      </c>
      <c r="F11" s="2" t="inlineStr"/>
      <c r="G11" s="2" t="inlineStr"/>
    </row>
    <row r="12">
      <c r="A12" s="4" t="n">
        <v>11</v>
      </c>
      <c r="B12" s="4" t="n">
        <v>1</v>
      </c>
      <c r="C12" s="4" t="inlineStr">
        <is>
          <t>Hennelly is the goalkeeper</t>
        </is>
      </c>
      <c r="D12" s="4" t="inlineStr">
        <is>
          <t>added info</t>
        </is>
      </c>
      <c r="E12" s="4" t="inlineStr">
        <is>
          <t>not in data (true)</t>
        </is>
      </c>
      <c r="F12" s="4" t="inlineStr"/>
      <c r="G12" s="4" t="inlineStr">
        <is>
          <t>position not in the input</t>
        </is>
      </c>
    </row>
    <row r="13">
      <c r="A13" s="2" t="n">
        <v>12</v>
      </c>
      <c r="B13" s="2" t="n">
        <v>1</v>
      </c>
      <c r="C13" s="2" t="inlineStr">
        <is>
          <t>Durcan, McHale, McLoughlin, Carr one point each</t>
        </is>
      </c>
      <c r="D13" s="2" t="inlineStr">
        <is>
          <t>scorer total</t>
        </is>
      </c>
      <c r="E13" s="2" t="inlineStr">
        <is>
          <t>ok</t>
        </is>
      </c>
      <c r="F13" s="2" t="inlineStr"/>
      <c r="G13" s="2" t="inlineStr"/>
    </row>
    <row r="14">
      <c r="A14" s="2" t="n">
        <v>13</v>
      </c>
      <c r="B14" s="2" t="n">
        <v>1</v>
      </c>
      <c r="C14" s="2" t="inlineStr">
        <is>
          <t>both teams scored two goals</t>
        </is>
      </c>
      <c r="D14" s="2" t="inlineStr">
        <is>
          <t>final score</t>
        </is>
      </c>
      <c r="E14" s="2" t="inlineStr">
        <is>
          <t>ok</t>
        </is>
      </c>
      <c r="F14" s="2" t="inlineStr"/>
      <c r="G14" s="2" t="inlineStr"/>
    </row>
    <row r="15">
      <c r="A15" s="2" t="n">
        <v>14</v>
      </c>
      <c r="B15" s="2" t="n">
        <v>1</v>
      </c>
      <c r="C15" s="2" t="inlineStr">
        <is>
          <t>14 to 8 in points accounted for the whole margin</t>
        </is>
      </c>
      <c r="D15" s="2" t="inlineStr">
        <is>
          <t>derived</t>
        </is>
      </c>
      <c r="E15" s="2" t="inlineStr">
        <is>
          <t>ok</t>
        </is>
      </c>
      <c r="F15" s="2" t="inlineStr"/>
      <c r="G15" s="2" t="inlineStr"/>
    </row>
    <row r="16">
      <c r="A16" s="5" t="n">
        <v>15</v>
      </c>
      <c r="B16" s="5" t="n">
        <v>1</v>
      </c>
      <c r="C16" s="5" t="inlineStr">
        <is>
          <t>Galway's leading scorer was Tierney, four points</t>
        </is>
      </c>
      <c r="D16" s="5" t="inlineStr">
        <is>
          <t>ranking</t>
        </is>
      </c>
      <c r="E16" s="5" t="inlineStr">
        <is>
          <t>partly</t>
        </is>
      </c>
      <c r="F16" s="5" t="inlineStr">
        <is>
          <t>ranking</t>
        </is>
      </c>
      <c r="G16" s="5" t="inlineStr">
        <is>
          <t>Walsh 1-1 is also 4 points (tie)</t>
        </is>
      </c>
    </row>
    <row r="17">
      <c r="A17" s="2" t="n">
        <v>16</v>
      </c>
      <c r="B17" s="2" t="n">
        <v>1</v>
      </c>
      <c r="C17" s="2" t="inlineStr">
        <is>
          <t>Tierney: three of his four from frees</t>
        </is>
      </c>
      <c r="D17" s="2" t="inlineStr">
        <is>
          <t>scorer detail</t>
        </is>
      </c>
      <c r="E17" s="2" t="inlineStr">
        <is>
          <t>ok</t>
        </is>
      </c>
      <c r="F17" s="2" t="inlineStr"/>
      <c r="G17" s="2" t="inlineStr"/>
    </row>
    <row r="18">
      <c r="A18" s="2" t="n">
        <v>17</v>
      </c>
      <c r="B18" s="2" t="n">
        <v>1</v>
      </c>
      <c r="C18" s="2" t="inlineStr">
        <is>
          <t>Walsh 1-1 and Comer a goal</t>
        </is>
      </c>
      <c r="D18" s="2" t="inlineStr">
        <is>
          <t>scorer total</t>
        </is>
      </c>
      <c r="E18" s="2" t="inlineStr">
        <is>
          <t>ok</t>
        </is>
      </c>
      <c r="F18" s="2" t="inlineStr"/>
      <c r="G18" s="2" t="inlineStr"/>
    </row>
    <row r="19">
      <c r="A19" s="2" t="n">
        <v>18</v>
      </c>
      <c r="B19" s="2" t="n">
        <v>1</v>
      </c>
      <c r="C19" s="2" t="inlineStr">
        <is>
          <t>Paul Conroy two, Sweeney one</t>
        </is>
      </c>
      <c r="D19" s="2" t="inlineStr">
        <is>
          <t>scorer total</t>
        </is>
      </c>
      <c r="E19" s="2" t="inlineStr">
        <is>
          <t>ok</t>
        </is>
      </c>
      <c r="F19" s="2" t="inlineStr"/>
      <c r="G19" s="2" t="inlineStr"/>
    </row>
    <row r="20">
      <c r="A20" s="2" t="n">
        <v>19</v>
      </c>
      <c r="B20" s="2" t="n">
        <v>1</v>
      </c>
      <c r="C20" s="2" t="inlineStr">
        <is>
          <t>Galway had five scorers</t>
        </is>
      </c>
      <c r="D20" s="2" t="inlineStr">
        <is>
          <t>count</t>
        </is>
      </c>
      <c r="E20" s="2" t="inlineStr">
        <is>
          <t>ok</t>
        </is>
      </c>
      <c r="F20" s="2" t="inlineStr"/>
      <c r="G20" s="2" t="inlineStr"/>
    </row>
    <row r="21">
      <c r="A21" s="2" t="n">
        <v>20</v>
      </c>
      <c r="B21" s="2" t="n">
        <v>2</v>
      </c>
      <c r="C21" s="2" t="inlineStr">
        <is>
          <t>Laois 2-17 Wexford 2-13</t>
        </is>
      </c>
      <c r="D21" s="2" t="inlineStr">
        <is>
          <t>final score</t>
        </is>
      </c>
      <c r="E21" s="2" t="inlineStr">
        <is>
          <t>ok</t>
        </is>
      </c>
      <c r="F21" s="2" t="inlineStr"/>
      <c r="G21" s="2" t="inlineStr"/>
    </row>
    <row r="22">
      <c r="A22" s="2" t="n">
        <v>21</v>
      </c>
      <c r="B22" s="2" t="n">
        <v>2</v>
      </c>
      <c r="C22" s="2" t="inlineStr">
        <is>
          <t>Laois won, four-point victory</t>
        </is>
      </c>
      <c r="D22" s="2" t="inlineStr">
        <is>
          <t>margin</t>
        </is>
      </c>
      <c r="E22" s="2" t="inlineStr">
        <is>
          <t>ok</t>
        </is>
      </c>
      <c r="F22" s="2" t="inlineStr"/>
      <c r="G22" s="2" t="inlineStr"/>
    </row>
    <row r="23">
      <c r="A23" s="2" t="n">
        <v>22</v>
      </c>
      <c r="B23" s="2" t="n">
        <v>2</v>
      </c>
      <c r="C23" s="2" t="inlineStr">
        <is>
          <t>Sunday, April 9</t>
        </is>
      </c>
      <c r="D23" s="2" t="inlineStr">
        <is>
          <t>date</t>
        </is>
      </c>
      <c r="E23" s="2" t="inlineStr">
        <is>
          <t>ok</t>
        </is>
      </c>
      <c r="F23" s="2" t="inlineStr"/>
      <c r="G23" s="2" t="inlineStr">
        <is>
          <t>weekday is not in the input; computed and correct</t>
        </is>
      </c>
    </row>
    <row r="24">
      <c r="A24" s="2" t="n">
        <v>23</v>
      </c>
      <c r="B24" s="2" t="n">
        <v>2</v>
      </c>
      <c r="C24" s="2" t="inlineStr">
        <is>
          <t>Barry 2-4, two goals</t>
        </is>
      </c>
      <c r="D24" s="2" t="inlineStr">
        <is>
          <t>scorer total</t>
        </is>
      </c>
      <c r="E24" s="2" t="inlineStr">
        <is>
          <t>ok</t>
        </is>
      </c>
      <c r="F24" s="2" t="inlineStr"/>
      <c r="G24" s="2" t="inlineStr"/>
    </row>
    <row r="25">
      <c r="A25" s="2" t="n">
        <v>24</v>
      </c>
      <c r="B25" s="2" t="n">
        <v>2</v>
      </c>
      <c r="C25" s="2" t="inlineStr">
        <is>
          <t>O'Carroll six points</t>
        </is>
      </c>
      <c r="D25" s="2" t="inlineStr">
        <is>
          <t>scorer total</t>
        </is>
      </c>
      <c r="E25" s="2" t="inlineStr">
        <is>
          <t>ok</t>
        </is>
      </c>
      <c r="F25" s="2" t="inlineStr"/>
      <c r="G25" s="2" t="inlineStr"/>
    </row>
    <row r="26">
      <c r="A26" s="2" t="n">
        <v>25</v>
      </c>
      <c r="B26" s="2" t="n">
        <v>2</v>
      </c>
      <c r="C26" s="2" t="inlineStr">
        <is>
          <t>Laois total of 23 points</t>
        </is>
      </c>
      <c r="D26" s="2" t="inlineStr">
        <is>
          <t>derived</t>
        </is>
      </c>
      <c r="E26" s="2" t="inlineStr">
        <is>
          <t>ok</t>
        </is>
      </c>
      <c r="F26" s="2" t="inlineStr"/>
      <c r="G26" s="2" t="inlineStr"/>
    </row>
    <row r="27">
      <c r="A27" s="2" t="n">
        <v>26</v>
      </c>
      <c r="B27" s="2" t="n">
        <v>2</v>
      </c>
      <c r="C27" s="2" t="inlineStr">
        <is>
          <t>Wexford matched Laois on goals</t>
        </is>
      </c>
      <c r="D27" s="2" t="inlineStr">
        <is>
          <t>final score</t>
        </is>
      </c>
      <c r="E27" s="2" t="inlineStr">
        <is>
          <t>ok</t>
        </is>
      </c>
      <c r="F27" s="2" t="inlineStr"/>
      <c r="G27" s="2" t="inlineStr"/>
    </row>
    <row r="28">
      <c r="A28" s="2" t="n">
        <v>27</v>
      </c>
      <c r="B28" s="2" t="n">
        <v>2</v>
      </c>
      <c r="C28" s="2" t="inlineStr">
        <is>
          <t>Brosnan 1-7</t>
        </is>
      </c>
      <c r="D28" s="2" t="inlineStr">
        <is>
          <t>scorer total</t>
        </is>
      </c>
      <c r="E28" s="2" t="inlineStr">
        <is>
          <t>ok</t>
        </is>
      </c>
      <c r="F28" s="2" t="inlineStr"/>
      <c r="G28" s="2" t="inlineStr"/>
    </row>
    <row r="29">
      <c r="A29" s="2" t="n">
        <v>28</v>
      </c>
      <c r="B29" s="2" t="n">
        <v>2</v>
      </c>
      <c r="C29" s="2" t="inlineStr">
        <is>
          <t>Barry and Brosnan ten points each</t>
        </is>
      </c>
      <c r="D29" s="2" t="inlineStr">
        <is>
          <t>derived</t>
        </is>
      </c>
      <c r="E29" s="2" t="inlineStr">
        <is>
          <t>ok</t>
        </is>
      </c>
      <c r="F29" s="2" t="inlineStr"/>
      <c r="G29" s="2" t="inlineStr"/>
    </row>
    <row r="30">
      <c r="A30" s="2" t="n">
        <v>29</v>
      </c>
      <c r="B30" s="2" t="n">
        <v>2</v>
      </c>
      <c r="C30" s="2" t="inlineStr">
        <is>
          <t>Barry's four points: two frees and a mark</t>
        </is>
      </c>
      <c r="D30" s="2" t="inlineStr">
        <is>
          <t>scorer detail</t>
        </is>
      </c>
      <c r="E30" s="2" t="inlineStr">
        <is>
          <t>ok</t>
        </is>
      </c>
      <c r="F30" s="2" t="inlineStr"/>
      <c r="G30" s="2" t="inlineStr"/>
    </row>
    <row r="31">
      <c r="A31" s="2" t="n">
        <v>30</v>
      </c>
      <c r="B31" s="2" t="n">
        <v>2</v>
      </c>
      <c r="C31" s="2" t="inlineStr">
        <is>
          <t>O'Carroll: a free, a mark and a 45 among six</t>
        </is>
      </c>
      <c r="D31" s="2" t="inlineStr">
        <is>
          <t>scorer detail</t>
        </is>
      </c>
      <c r="E31" s="2" t="inlineStr">
        <is>
          <t>ok</t>
        </is>
      </c>
      <c r="F31" s="2" t="inlineStr"/>
      <c r="G31" s="2" t="inlineStr"/>
    </row>
    <row r="32">
      <c r="A32" s="2" t="n">
        <v>31</v>
      </c>
      <c r="B32" s="2" t="n">
        <v>2</v>
      </c>
      <c r="C32" s="2" t="inlineStr">
        <is>
          <t>Kingston four, three from frees</t>
        </is>
      </c>
      <c r="D32" s="2" t="inlineStr">
        <is>
          <t>scorer detail</t>
        </is>
      </c>
      <c r="E32" s="2" t="inlineStr">
        <is>
          <t>ok</t>
        </is>
      </c>
      <c r="F32" s="2" t="inlineStr"/>
      <c r="G32" s="2" t="inlineStr"/>
    </row>
    <row r="33">
      <c r="A33" s="2" t="n">
        <v>32</v>
      </c>
      <c r="B33" s="2" t="n">
        <v>2</v>
      </c>
      <c r="C33" s="2" t="inlineStr">
        <is>
          <t>Larkin two, O'Sullivan one</t>
        </is>
      </c>
      <c r="D33" s="2" t="inlineStr">
        <is>
          <t>scorer total</t>
        </is>
      </c>
      <c r="E33" s="2" t="inlineStr">
        <is>
          <t>ok</t>
        </is>
      </c>
      <c r="F33" s="2" t="inlineStr"/>
      <c r="G33" s="2" t="inlineStr"/>
    </row>
    <row r="34">
      <c r="A34" s="2" t="n">
        <v>33</v>
      </c>
      <c r="B34" s="2" t="n">
        <v>2</v>
      </c>
      <c r="C34" s="2" t="inlineStr">
        <is>
          <t>Brosnan: penalty and five frees among seven points</t>
        </is>
      </c>
      <c r="D34" s="2" t="inlineStr">
        <is>
          <t>scorer detail</t>
        </is>
      </c>
      <c r="E34" s="2" t="inlineStr">
        <is>
          <t>ok</t>
        </is>
      </c>
      <c r="F34" s="2" t="inlineStr"/>
      <c r="G34" s="2" t="inlineStr"/>
    </row>
    <row r="35">
      <c r="A35" s="2" t="n">
        <v>34</v>
      </c>
      <c r="B35" s="2" t="n">
        <v>2</v>
      </c>
      <c r="C35" s="2" t="inlineStr">
        <is>
          <t>Brooks the other goal plus a point</t>
        </is>
      </c>
      <c r="D35" s="2" t="inlineStr">
        <is>
          <t>scorer total</t>
        </is>
      </c>
      <c r="E35" s="2" t="inlineStr">
        <is>
          <t>ok</t>
        </is>
      </c>
      <c r="F35" s="2" t="inlineStr"/>
      <c r="G35" s="2" t="inlineStr"/>
    </row>
    <row r="36">
      <c r="A36" s="2" t="n">
        <v>35</v>
      </c>
      <c r="B36" s="2" t="n">
        <v>2</v>
      </c>
      <c r="C36" s="2" t="inlineStr">
        <is>
          <t>S Nolan two; Hughes and O'Grady on target; E Nolan a 45</t>
        </is>
      </c>
      <c r="D36" s="2" t="inlineStr">
        <is>
          <t>scorer total</t>
        </is>
      </c>
      <c r="E36" s="2" t="inlineStr">
        <is>
          <t>ok</t>
        </is>
      </c>
      <c r="F36" s="2" t="inlineStr"/>
      <c r="G36" s="2" t="inlineStr"/>
    </row>
    <row r="37">
      <c r="A37" s="2" t="n">
        <v>36</v>
      </c>
      <c r="B37" s="2" t="n">
        <v>2</v>
      </c>
      <c r="C37" s="2" t="inlineStr">
        <is>
          <t>Barry, O'Carroll and Kingston all but three of 23 points</t>
        </is>
      </c>
      <c r="D37" s="2" t="inlineStr">
        <is>
          <t>derived</t>
        </is>
      </c>
      <c r="E37" s="2" t="inlineStr">
        <is>
          <t>ok</t>
        </is>
      </c>
      <c r="F37" s="2" t="inlineStr"/>
      <c r="G37" s="2" t="inlineStr"/>
    </row>
    <row r="38">
      <c r="A38" s="4" t="n">
        <v>37</v>
      </c>
      <c r="B38" s="4" t="n">
        <v>2</v>
      </c>
      <c r="C38" s="4" t="inlineStr">
        <is>
          <t>"opening championship assignment" (preliminary round)</t>
        </is>
      </c>
      <c r="D38" s="4" t="inlineStr">
        <is>
          <t>stage</t>
        </is>
      </c>
      <c r="E38" s="4" t="inlineStr">
        <is>
          <t>not in data (true)</t>
        </is>
      </c>
      <c r="F38" s="4" t="inlineStr"/>
      <c r="G38" s="4" t="inlineStr">
        <is>
          <t>not stated in the input; plausible</t>
        </is>
      </c>
    </row>
    <row r="39">
      <c r="A39" s="2" t="n">
        <v>38</v>
      </c>
      <c r="B39" s="2" t="n">
        <v>3</v>
      </c>
      <c r="C39" s="2" t="inlineStr">
        <is>
          <t>Armagh 0-20 Antrim 1-8</t>
        </is>
      </c>
      <c r="D39" s="2" t="inlineStr">
        <is>
          <t>final score</t>
        </is>
      </c>
      <c r="E39" s="2" t="inlineStr">
        <is>
          <t>ok</t>
        </is>
      </c>
      <c r="F39" s="2" t="inlineStr"/>
      <c r="G39" s="2" t="inlineStr"/>
    </row>
    <row r="40">
      <c r="A40" s="2" t="n">
        <v>39</v>
      </c>
      <c r="B40" s="2" t="n">
        <v>3</v>
      </c>
      <c r="C40" s="2" t="inlineStr">
        <is>
          <t>Armagh won by nine points</t>
        </is>
      </c>
      <c r="D40" s="2" t="inlineStr">
        <is>
          <t>margin</t>
        </is>
      </c>
      <c r="E40" s="2" t="inlineStr">
        <is>
          <t>ok</t>
        </is>
      </c>
      <c r="F40" s="2" t="inlineStr"/>
      <c r="G40" s="2" t="inlineStr"/>
    </row>
    <row r="41">
      <c r="A41" s="2" t="n">
        <v>40</v>
      </c>
      <c r="B41" s="2" t="n">
        <v>3</v>
      </c>
      <c r="C41" s="2" t="inlineStr">
        <is>
          <t>Saturday, April 8</t>
        </is>
      </c>
      <c r="D41" s="2" t="inlineStr">
        <is>
          <t>date</t>
        </is>
      </c>
      <c r="E41" s="2" t="inlineStr">
        <is>
          <t>ok</t>
        </is>
      </c>
      <c r="F41" s="2" t="inlineStr"/>
      <c r="G41" s="2" t="inlineStr">
        <is>
          <t>weekday is not in the input; computed and correct</t>
        </is>
      </c>
    </row>
    <row r="42">
      <c r="A42" s="2" t="n">
        <v>41</v>
      </c>
      <c r="B42" s="2" t="n">
        <v>3</v>
      </c>
      <c r="C42" s="2" t="inlineStr">
        <is>
          <t>Turbitt eight points</t>
        </is>
      </c>
      <c r="D42" s="2" t="inlineStr">
        <is>
          <t>scorer total</t>
        </is>
      </c>
      <c r="E42" s="2" t="inlineStr">
        <is>
          <t>ok</t>
        </is>
      </c>
      <c r="F42" s="2" t="inlineStr"/>
      <c r="G42" s="2" t="inlineStr"/>
    </row>
    <row r="43">
      <c r="A43" s="2" t="n">
        <v>42</v>
      </c>
      <c r="B43" s="2" t="n">
        <v>3</v>
      </c>
      <c r="C43" s="2" t="inlineStr">
        <is>
          <t>Armagh had eight scorers</t>
        </is>
      </c>
      <c r="D43" s="2" t="inlineStr">
        <is>
          <t>count</t>
        </is>
      </c>
      <c r="E43" s="2" t="inlineStr">
        <is>
          <t>ok</t>
        </is>
      </c>
      <c r="F43" s="2" t="inlineStr"/>
      <c r="G43" s="2" t="inlineStr"/>
    </row>
    <row r="44">
      <c r="A44" s="2" t="n">
        <v>43</v>
      </c>
      <c r="B44" s="2" t="n">
        <v>3</v>
      </c>
      <c r="C44" s="2" t="inlineStr">
        <is>
          <t>Turbitt: three frees, a mark, four from play</t>
        </is>
      </c>
      <c r="D44" s="2" t="inlineStr">
        <is>
          <t>scorer detail</t>
        </is>
      </c>
      <c r="E44" s="2" t="inlineStr">
        <is>
          <t>ok</t>
        </is>
      </c>
      <c r="F44" s="2" t="inlineStr"/>
      <c r="G44" s="2" t="inlineStr">
        <is>
          <t>"from play" inferred from the absence of a note</t>
        </is>
      </c>
    </row>
    <row r="45">
      <c r="A45" s="2" t="n">
        <v>44</v>
      </c>
      <c r="B45" s="2" t="n">
        <v>3</v>
      </c>
      <c r="C45" s="2" t="inlineStr">
        <is>
          <t>McPartlan four, all from play</t>
        </is>
      </c>
      <c r="D45" s="2" t="inlineStr">
        <is>
          <t>scorer detail</t>
        </is>
      </c>
      <c r="E45" s="2" t="inlineStr">
        <is>
          <t>ok</t>
        </is>
      </c>
      <c r="F45" s="2" t="inlineStr"/>
      <c r="G45" s="2" t="inlineStr">
        <is>
          <t>"from play" inferred from the absence of a note</t>
        </is>
      </c>
    </row>
    <row r="46">
      <c r="A46" s="2" t="n">
        <v>45</v>
      </c>
      <c r="B46" s="2" t="n">
        <v>3</v>
      </c>
      <c r="C46" s="2" t="inlineStr">
        <is>
          <t>Grugan three, including a free</t>
        </is>
      </c>
      <c r="D46" s="2" t="inlineStr">
        <is>
          <t>scorer detail</t>
        </is>
      </c>
      <c r="E46" s="2" t="inlineStr">
        <is>
          <t>ok</t>
        </is>
      </c>
      <c r="F46" s="2" t="inlineStr"/>
      <c r="G46" s="2" t="inlineStr"/>
    </row>
    <row r="47">
      <c r="A47" s="2" t="n">
        <v>46</v>
      </c>
      <c r="B47" s="2" t="n">
        <v>3</v>
      </c>
      <c r="C47" s="2" t="inlineStr">
        <is>
          <t>the trio accounted for 15 of Armagh's 20 points</t>
        </is>
      </c>
      <c r="D47" s="2" t="inlineStr">
        <is>
          <t>derived</t>
        </is>
      </c>
      <c r="E47" s="2" t="inlineStr">
        <is>
          <t>ok</t>
        </is>
      </c>
      <c r="F47" s="2" t="inlineStr"/>
      <c r="G47" s="2" t="inlineStr"/>
    </row>
    <row r="48">
      <c r="A48" s="2" t="n">
        <v>47</v>
      </c>
      <c r="B48" s="2" t="n">
        <v>3</v>
      </c>
      <c r="C48" s="2" t="inlineStr">
        <is>
          <t>Stewart the only goal, plus a point</t>
        </is>
      </c>
      <c r="D48" s="2" t="inlineStr">
        <is>
          <t>scorer total</t>
        </is>
      </c>
      <c r="E48" s="2" t="inlineStr">
        <is>
          <t>ok</t>
        </is>
      </c>
      <c r="F48" s="2" t="inlineStr"/>
      <c r="G48" s="2" t="inlineStr"/>
    </row>
    <row r="49">
      <c r="A49" s="2" t="n">
        <v>48</v>
      </c>
      <c r="B49" s="2" t="n">
        <v>3</v>
      </c>
      <c r="C49" s="2" t="inlineStr">
        <is>
          <t>Antrim's other seven points shared among seven players</t>
        </is>
      </c>
      <c r="D49" s="2" t="inlineStr">
        <is>
          <t>derived</t>
        </is>
      </c>
      <c r="E49" s="2" t="inlineStr">
        <is>
          <t>ok</t>
        </is>
      </c>
      <c r="F49" s="2" t="inlineStr"/>
      <c r="G49" s="2" t="inlineStr"/>
    </row>
    <row r="50">
      <c r="A50" s="2" t="n">
        <v>49</v>
      </c>
      <c r="B50" s="2" t="n">
        <v>3</v>
      </c>
      <c r="C50" s="2" t="inlineStr">
        <is>
          <t>McCann (Creggan) and Murray one free each</t>
        </is>
      </c>
      <c r="D50" s="2" t="inlineStr">
        <is>
          <t>scorer detail</t>
        </is>
      </c>
      <c r="E50" s="2" t="inlineStr">
        <is>
          <t>ok</t>
        </is>
      </c>
      <c r="F50" s="2" t="inlineStr"/>
      <c r="G50" s="2" t="inlineStr"/>
    </row>
    <row r="51">
      <c r="A51" s="2" t="n">
        <v>50</v>
      </c>
      <c r="B51" s="2" t="n">
        <v>3</v>
      </c>
      <c r="C51" s="2" t="inlineStr">
        <is>
          <t>McCabe, McAuley, Shivers, McCann (Aghagallon), Eastwood one each</t>
        </is>
      </c>
      <c r="D51" s="2" t="inlineStr">
        <is>
          <t>scorer total</t>
        </is>
      </c>
      <c r="E51" s="2" t="inlineStr">
        <is>
          <t>ok</t>
        </is>
      </c>
      <c r="F51" s="2" t="inlineStr"/>
      <c r="G51" s="2" t="inlineStr"/>
    </row>
    <row r="52">
      <c r="A52" s="2" t="n">
        <v>51</v>
      </c>
      <c r="B52" s="2" t="n">
        <v>3</v>
      </c>
      <c r="C52" s="2" t="inlineStr">
        <is>
          <t>Rafferty one free; Mackin, Campbell, Hall, Kelly one from play each</t>
        </is>
      </c>
      <c r="D52" s="2" t="inlineStr">
        <is>
          <t>scorer detail</t>
        </is>
      </c>
      <c r="E52" s="2" t="inlineStr">
        <is>
          <t>ok</t>
        </is>
      </c>
      <c r="F52" s="2" t="inlineStr"/>
      <c r="G52" s="2" t="inlineStr"/>
    </row>
    <row r="53">
      <c r="A53" s="2" t="n">
        <v>52</v>
      </c>
      <c r="B53" s="2" t="n">
        <v>4</v>
      </c>
      <c r="C53" s="2" t="inlineStr">
        <is>
          <t>Derry 0-14 Monaghan 0-14, a draw</t>
        </is>
      </c>
      <c r="D53" s="2" t="inlineStr">
        <is>
          <t>final score</t>
        </is>
      </c>
      <c r="E53" s="2" t="inlineStr">
        <is>
          <t>ok</t>
        </is>
      </c>
      <c r="F53" s="2" t="inlineStr"/>
      <c r="G53" s="2" t="inlineStr"/>
    </row>
    <row r="54">
      <c r="A54" s="2" t="n">
        <v>53</v>
      </c>
      <c r="B54" s="2" t="n">
        <v>4</v>
      </c>
      <c r="C54" s="2" t="inlineStr">
        <is>
          <t>draw (no winner)</t>
        </is>
      </c>
      <c r="D54" s="2" t="inlineStr">
        <is>
          <t>winner</t>
        </is>
      </c>
      <c r="E54" s="2" t="inlineStr">
        <is>
          <t>ok</t>
        </is>
      </c>
      <c r="F54" s="2" t="inlineStr"/>
      <c r="G54" s="2" t="inlineStr"/>
    </row>
    <row r="55">
      <c r="A55" s="2" t="n">
        <v>54</v>
      </c>
      <c r="B55" s="2" t="n">
        <v>4</v>
      </c>
      <c r="C55" s="2" t="inlineStr">
        <is>
          <t>Saturday, May 27; Round 1</t>
        </is>
      </c>
      <c r="D55" s="2" t="inlineStr">
        <is>
          <t>date</t>
        </is>
      </c>
      <c r="E55" s="2" t="inlineStr">
        <is>
          <t>ok</t>
        </is>
      </c>
      <c r="F55" s="2" t="inlineStr"/>
      <c r="G55" s="2" t="inlineStr">
        <is>
          <t>weekday is not in the input; computed and correct</t>
        </is>
      </c>
    </row>
    <row r="56">
      <c r="A56" s="2" t="n">
        <v>55</v>
      </c>
      <c r="B56" s="2" t="n">
        <v>4</v>
      </c>
      <c r="C56" s="2" t="inlineStr">
        <is>
          <t>neither side scored a goal</t>
        </is>
      </c>
      <c r="D56" s="2" t="inlineStr">
        <is>
          <t>final score</t>
        </is>
      </c>
      <c r="E56" s="2" t="inlineStr">
        <is>
          <t>ok</t>
        </is>
      </c>
      <c r="F56" s="2" t="inlineStr"/>
      <c r="G56" s="2" t="inlineStr"/>
    </row>
    <row r="57">
      <c r="A57" s="2" t="n">
        <v>56</v>
      </c>
      <c r="B57" s="2" t="n">
        <v>4</v>
      </c>
      <c r="C57" s="2" t="inlineStr">
        <is>
          <t>McGuigan nine points</t>
        </is>
      </c>
      <c r="D57" s="2" t="inlineStr">
        <is>
          <t>scorer total</t>
        </is>
      </c>
      <c r="E57" s="2" t="inlineStr">
        <is>
          <t>ok</t>
        </is>
      </c>
      <c r="F57" s="2" t="inlineStr"/>
      <c r="G57" s="2" t="inlineStr"/>
    </row>
    <row r="58">
      <c r="A58" s="2" t="n">
        <v>57</v>
      </c>
      <c r="B58" s="2" t="n">
        <v>4</v>
      </c>
      <c r="C58" s="2" t="inlineStr">
        <is>
          <t>McGuigan: six frees, a mark, two from play</t>
        </is>
      </c>
      <c r="D58" s="2" t="inlineStr">
        <is>
          <t>scorer detail</t>
        </is>
      </c>
      <c r="E58" s="2" t="inlineStr">
        <is>
          <t>ok</t>
        </is>
      </c>
      <c r="F58" s="2" t="inlineStr"/>
      <c r="G58" s="2" t="inlineStr"/>
    </row>
    <row r="59">
      <c r="A59" s="2" t="n">
        <v>58</v>
      </c>
      <c r="B59" s="2" t="n">
        <v>4</v>
      </c>
      <c r="C59" s="2" t="inlineStr">
        <is>
          <t>McGuigan's placed balls were half of Derry's 14</t>
        </is>
      </c>
      <c r="D59" s="2" t="inlineStr">
        <is>
          <t>derived</t>
        </is>
      </c>
      <c r="E59" s="2" t="inlineStr">
        <is>
          <t>ok</t>
        </is>
      </c>
      <c r="F59" s="2" t="inlineStr"/>
      <c r="G59" s="2" t="inlineStr">
        <is>
          <t>7 of 14</t>
        </is>
      </c>
    </row>
    <row r="60">
      <c r="A60" s="2" t="n">
        <v>59</v>
      </c>
      <c r="B60" s="2" t="n">
        <v>4</v>
      </c>
      <c r="C60" s="2" t="inlineStr">
        <is>
          <t>Toner two, one from a free; Doherty, McFaul, Murray one each</t>
        </is>
      </c>
      <c r="D60" s="2" t="inlineStr">
        <is>
          <t>scorer total</t>
        </is>
      </c>
      <c r="E60" s="2" t="inlineStr">
        <is>
          <t>ok</t>
        </is>
      </c>
      <c r="F60" s="2" t="inlineStr"/>
      <c r="G60" s="2" t="inlineStr"/>
    </row>
    <row r="61">
      <c r="A61" s="2" t="n">
        <v>60</v>
      </c>
      <c r="B61" s="2" t="n">
        <v>4</v>
      </c>
      <c r="C61" s="2" t="inlineStr">
        <is>
          <t>Monaghan had eight scorers</t>
        </is>
      </c>
      <c r="D61" s="2" t="inlineStr">
        <is>
          <t>count</t>
        </is>
      </c>
      <c r="E61" s="2" t="inlineStr">
        <is>
          <t>ok</t>
        </is>
      </c>
      <c r="F61" s="2" t="inlineStr"/>
      <c r="G61" s="2" t="inlineStr"/>
    </row>
    <row r="62">
      <c r="A62" s="2" t="n">
        <v>61</v>
      </c>
      <c r="B62" s="2" t="n">
        <v>4</v>
      </c>
      <c r="C62" s="2" t="inlineStr">
        <is>
          <t>McCarthy and Bannigan three each, one free each, six together</t>
        </is>
      </c>
      <c r="D62" s="2" t="inlineStr">
        <is>
          <t>scorer total</t>
        </is>
      </c>
      <c r="E62" s="2" t="inlineStr">
        <is>
          <t>ok</t>
        </is>
      </c>
      <c r="F62" s="2" t="inlineStr"/>
      <c r="G62" s="2" t="inlineStr"/>
    </row>
    <row r="63">
      <c r="A63" s="2" t="n">
        <v>62</v>
      </c>
      <c r="B63" s="2" t="n">
        <v>4</v>
      </c>
      <c r="C63" s="2" t="inlineStr">
        <is>
          <t>Beggan two frees</t>
        </is>
      </c>
      <c r="D63" s="2" t="inlineStr">
        <is>
          <t>scorer detail</t>
        </is>
      </c>
      <c r="E63" s="2" t="inlineStr">
        <is>
          <t>ok</t>
        </is>
      </c>
      <c r="F63" s="2" t="inlineStr"/>
      <c r="G63" s="2" t="inlineStr"/>
    </row>
    <row r="64">
      <c r="A64" s="4" t="n">
        <v>63</v>
      </c>
      <c r="B64" s="4" t="n">
        <v>4</v>
      </c>
      <c r="C64" s="4" t="inlineStr">
        <is>
          <t>Beggan is the goalkeeper</t>
        </is>
      </c>
      <c r="D64" s="4" t="inlineStr">
        <is>
          <t>added info</t>
        </is>
      </c>
      <c r="E64" s="4" t="inlineStr">
        <is>
          <t>not in data (true)</t>
        </is>
      </c>
      <c r="F64" s="4" t="inlineStr"/>
      <c r="G64" s="4" t="inlineStr">
        <is>
          <t>position not in the input</t>
        </is>
      </c>
    </row>
    <row r="65">
      <c r="A65" s="2" t="n">
        <v>64</v>
      </c>
      <c r="B65" s="2" t="n">
        <v>4</v>
      </c>
      <c r="C65" s="2" t="inlineStr">
        <is>
          <t>Carey two; Wylie, O'Connell, Boyle, Mohan one each</t>
        </is>
      </c>
      <c r="D65" s="2" t="inlineStr">
        <is>
          <t>scorer total</t>
        </is>
      </c>
      <c r="E65" s="2" t="inlineStr">
        <is>
          <t>ok</t>
        </is>
      </c>
      <c r="F65" s="2" t="inlineStr"/>
      <c r="G65" s="2" t="inlineStr"/>
    </row>
    <row r="66">
      <c r="A66" s="2" t="n">
        <v>65</v>
      </c>
      <c r="B66" s="2" t="n">
        <v>5</v>
      </c>
      <c r="C66" s="2" t="inlineStr">
        <is>
          <t>Cork 1-14 Roscommon 0-16</t>
        </is>
      </c>
      <c r="D66" s="2" t="inlineStr">
        <is>
          <t>final score</t>
        </is>
      </c>
      <c r="E66" s="2" t="inlineStr">
        <is>
          <t>ok</t>
        </is>
      </c>
      <c r="F66" s="2" t="inlineStr"/>
      <c r="G66" s="2" t="inlineStr"/>
    </row>
    <row r="67">
      <c r="A67" s="2" t="n">
        <v>66</v>
      </c>
      <c r="B67" s="2" t="n">
        <v>5</v>
      </c>
      <c r="C67" s="2" t="inlineStr">
        <is>
          <t>Cork won by one point</t>
        </is>
      </c>
      <c r="D67" s="2" t="inlineStr">
        <is>
          <t>margin</t>
        </is>
      </c>
      <c r="E67" s="2" t="inlineStr">
        <is>
          <t>ok</t>
        </is>
      </c>
      <c r="F67" s="2" t="inlineStr"/>
      <c r="G67" s="2" t="inlineStr"/>
    </row>
    <row r="68">
      <c r="A68" s="2" t="n">
        <v>67</v>
      </c>
      <c r="B68" s="2" t="n">
        <v>5</v>
      </c>
      <c r="C68" s="2" t="inlineStr">
        <is>
          <t>Saturday, June 24</t>
        </is>
      </c>
      <c r="D68" s="2" t="inlineStr">
        <is>
          <t>date</t>
        </is>
      </c>
      <c r="E68" s="2" t="inlineStr">
        <is>
          <t>ok</t>
        </is>
      </c>
      <c r="F68" s="2" t="inlineStr"/>
      <c r="G68" s="2" t="inlineStr">
        <is>
          <t>weekday is not in the input; computed and correct</t>
        </is>
      </c>
    </row>
    <row r="69">
      <c r="A69" s="4" t="n">
        <v>68</v>
      </c>
      <c r="B69" s="4" t="n">
        <v>5</v>
      </c>
      <c r="C69" s="4" t="inlineStr">
        <is>
          <t>Cork secured a place in the quarter-finals</t>
        </is>
      </c>
      <c r="D69" s="4" t="inlineStr">
        <is>
          <t>stage</t>
        </is>
      </c>
      <c r="E69" s="4" t="inlineStr">
        <is>
          <t>not in data (true)</t>
        </is>
      </c>
      <c r="F69" s="4" t="inlineStr"/>
      <c r="G69" s="4" t="inlineStr">
        <is>
          <t>progression not in the input; correct for a preliminary quarter-final</t>
        </is>
      </c>
    </row>
    <row r="70">
      <c r="A70" s="2" t="n">
        <v>69</v>
      </c>
      <c r="B70" s="2" t="n">
        <v>5</v>
      </c>
      <c r="C70" s="2" t="inlineStr">
        <is>
          <t>Murtagh brothers 11 points combined (6 + 5)</t>
        </is>
      </c>
      <c r="D70" s="2" t="inlineStr">
        <is>
          <t>derived</t>
        </is>
      </c>
      <c r="E70" s="2" t="inlineStr">
        <is>
          <t>ok</t>
        </is>
      </c>
      <c r="F70" s="2" t="inlineStr"/>
      <c r="G70" s="2" t="inlineStr"/>
    </row>
    <row r="71">
      <c r="A71" s="4" t="n">
        <v>70</v>
      </c>
      <c r="B71" s="4" t="n">
        <v>5</v>
      </c>
      <c r="C71" s="4" t="inlineStr">
        <is>
          <t>Diarmuid and Ciarain Murtagh are brothers</t>
        </is>
      </c>
      <c r="D71" s="4" t="inlineStr">
        <is>
          <t>added info</t>
        </is>
      </c>
      <c r="E71" s="4" t="inlineStr">
        <is>
          <t>not in data (true)</t>
        </is>
      </c>
      <c r="F71" s="4" t="inlineStr"/>
      <c r="G71" s="4" t="inlineStr">
        <is>
          <t>not in the input</t>
        </is>
      </c>
    </row>
    <row r="72">
      <c r="A72" s="2" t="n">
        <v>71</v>
      </c>
      <c r="B72" s="2" t="n">
        <v>5</v>
      </c>
      <c r="C72" s="2" t="inlineStr">
        <is>
          <t>Sherlock five, four from frees</t>
        </is>
      </c>
      <c r="D72" s="2" t="inlineStr">
        <is>
          <t>scorer detail</t>
        </is>
      </c>
      <c r="E72" s="2" t="inlineStr">
        <is>
          <t>ok</t>
        </is>
      </c>
      <c r="F72" s="2" t="inlineStr"/>
      <c r="G72" s="2" t="inlineStr"/>
    </row>
    <row r="73">
      <c r="A73" s="2" t="n">
        <v>72</v>
      </c>
      <c r="B73" s="2" t="n">
        <v>5</v>
      </c>
      <c r="C73" s="2" t="inlineStr">
        <is>
          <t>Maguire and Jones two each</t>
        </is>
      </c>
      <c r="D73" s="2" t="inlineStr">
        <is>
          <t>scorer total</t>
        </is>
      </c>
      <c r="E73" s="2" t="inlineStr">
        <is>
          <t>ok</t>
        </is>
      </c>
      <c r="F73" s="2" t="inlineStr"/>
      <c r="G73" s="2" t="inlineStr"/>
    </row>
    <row r="74">
      <c r="A74" s="2" t="n">
        <v>73</v>
      </c>
      <c r="B74" s="2" t="n">
        <v>5</v>
      </c>
      <c r="C74" s="2" t="inlineStr">
        <is>
          <t>Corbett's goal the only goal</t>
        </is>
      </c>
      <c r="D74" s="2" t="inlineStr">
        <is>
          <t>scorer total</t>
        </is>
      </c>
      <c r="E74" s="2" t="inlineStr">
        <is>
          <t>ok</t>
        </is>
      </c>
      <c r="F74" s="2" t="inlineStr"/>
      <c r="G74" s="2" t="inlineStr"/>
    </row>
    <row r="75">
      <c r="A75" s="2" t="n">
        <v>74</v>
      </c>
      <c r="B75" s="2" t="n">
        <v>5</v>
      </c>
      <c r="C75" s="2" t="inlineStr">
        <is>
          <t>D Murtagh six including three frees, the game's top scorer</t>
        </is>
      </c>
      <c r="D75" s="2" t="inlineStr">
        <is>
          <t>ranking</t>
        </is>
      </c>
      <c r="E75" s="2" t="inlineStr">
        <is>
          <t>ok</t>
        </is>
      </c>
      <c r="F75" s="2" t="inlineStr"/>
      <c r="G75" s="2" t="inlineStr"/>
    </row>
    <row r="76">
      <c r="A76" s="2" t="n">
        <v>75</v>
      </c>
      <c r="B76" s="2" t="n">
        <v>5</v>
      </c>
      <c r="C76" s="2" t="inlineStr">
        <is>
          <t>C Murtagh five, three from frees</t>
        </is>
      </c>
      <c r="D76" s="2" t="inlineStr">
        <is>
          <t>scorer detail</t>
        </is>
      </c>
      <c r="E76" s="2" t="inlineStr">
        <is>
          <t>ok</t>
        </is>
      </c>
      <c r="F76" s="2" t="inlineStr"/>
      <c r="G76" s="2" t="inlineStr"/>
    </row>
    <row r="77">
      <c r="A77" s="2" t="n">
        <v>76</v>
      </c>
      <c r="B77" s="2" t="n">
        <v>5</v>
      </c>
      <c r="C77" s="2" t="inlineStr">
        <is>
          <t>Walsh, Fahy, Taylor, O'Driscoll, O'Donovan one each</t>
        </is>
      </c>
      <c r="D77" s="2" t="inlineStr">
        <is>
          <t>scorer total</t>
        </is>
      </c>
      <c r="E77" s="2" t="inlineStr">
        <is>
          <t>ok</t>
        </is>
      </c>
      <c r="F77" s="2" t="inlineStr"/>
      <c r="G77" s="2" t="inlineStr"/>
    </row>
    <row r="78">
      <c r="A78" s="2" t="n">
        <v>77</v>
      </c>
      <c r="B78" s="2" t="n">
        <v>5</v>
      </c>
      <c r="C78" s="2" t="inlineStr">
        <is>
          <t>Cork had nine scorers</t>
        </is>
      </c>
      <c r="D78" s="2" t="inlineStr">
        <is>
          <t>count</t>
        </is>
      </c>
      <c r="E78" s="2" t="inlineStr">
        <is>
          <t>ok</t>
        </is>
      </c>
      <c r="F78" s="2" t="inlineStr"/>
      <c r="G78" s="2" t="inlineStr"/>
    </row>
    <row r="79">
      <c r="A79" s="2" t="n">
        <v>78</v>
      </c>
      <c r="B79" s="2" t="n">
        <v>5</v>
      </c>
      <c r="C79" s="2" t="inlineStr">
        <is>
          <t>Cregg and Smith two each; Cregg included a mark</t>
        </is>
      </c>
      <c r="D79" s="2" t="inlineStr">
        <is>
          <t>scorer detail</t>
        </is>
      </c>
      <c r="E79" s="2" t="inlineStr">
        <is>
          <t>ok</t>
        </is>
      </c>
      <c r="F79" s="2" t="inlineStr"/>
      <c r="G79" s="2" t="inlineStr"/>
    </row>
    <row r="80">
      <c r="A80" s="2" t="n">
        <v>79</v>
      </c>
      <c r="B80" s="2" t="n">
        <v>5</v>
      </c>
      <c r="C80" s="2" t="inlineStr">
        <is>
          <t>Carroll converted a '45</t>
        </is>
      </c>
      <c r="D80" s="2" t="inlineStr">
        <is>
          <t>scorer detail</t>
        </is>
      </c>
      <c r="E80" s="2" t="inlineStr">
        <is>
          <t>ok</t>
        </is>
      </c>
      <c r="F80" s="2" t="inlineStr"/>
      <c r="G80" s="2" t="inlineStr"/>
    </row>
    <row r="81">
      <c r="A81" s="6" t="n">
        <v>80</v>
      </c>
      <c r="B81" s="6" t="n">
        <v>5</v>
      </c>
      <c r="C81" s="6" t="inlineStr">
        <is>
          <t>Carroll is the goalkeeper</t>
        </is>
      </c>
      <c r="D81" s="6" t="inlineStr">
        <is>
          <t>added info</t>
        </is>
      </c>
      <c r="E81" s="6" t="inlineStr">
        <is>
          <t>not in data (unverified)</t>
        </is>
      </c>
      <c r="F81" s="6" t="inlineStr"/>
      <c r="G81" s="6" t="inlineStr">
        <is>
          <t>position not in the input; not checked</t>
        </is>
      </c>
    </row>
    <row r="82">
      <c r="A82" s="2" t="n">
        <v>81</v>
      </c>
      <c r="B82" s="2" t="n">
        <v>5</v>
      </c>
      <c r="C82" s="2" t="inlineStr">
        <is>
          <t>Cork's 1-14 amounted to 17 points against 16</t>
        </is>
      </c>
      <c r="D82" s="2" t="inlineStr">
        <is>
          <t>derived</t>
        </is>
      </c>
      <c r="E82" s="2" t="inlineStr">
        <is>
          <t>ok</t>
        </is>
      </c>
      <c r="F82" s="2" t="inlineStr"/>
      <c r="G82" s="2" t="inlineStr"/>
    </row>
    <row r="83">
      <c r="A83" s="2" t="n">
        <v>82</v>
      </c>
      <c r="B83" s="2" t="n">
        <v>5</v>
      </c>
      <c r="C83" s="2" t="inlineStr">
        <is>
          <t>Roscommon had more individual scores (16 v 15)</t>
        </is>
      </c>
      <c r="D83" s="2" t="inlineStr">
        <is>
          <t>derived</t>
        </is>
      </c>
      <c r="E83" s="2" t="inlineStr">
        <is>
          <t>ok</t>
        </is>
      </c>
      <c r="F83" s="2" t="inlineStr"/>
      <c r="G83" s="2" t="inlineStr"/>
    </row>
    <row r="84">
      <c r="A84" s="2" t="n">
        <v>83</v>
      </c>
      <c r="B84" s="2" t="n">
        <v>6</v>
      </c>
      <c r="C84" s="2" t="inlineStr">
        <is>
          <t>Louth 0-17 Kildare 0-13</t>
        </is>
      </c>
      <c r="D84" s="2" t="inlineStr">
        <is>
          <t>final score</t>
        </is>
      </c>
      <c r="E84" s="2" t="inlineStr">
        <is>
          <t>ok</t>
        </is>
      </c>
      <c r="F84" s="2" t="inlineStr"/>
      <c r="G84" s="2" t="inlineStr"/>
    </row>
    <row r="85">
      <c r="A85" s="2" t="n">
        <v>84</v>
      </c>
      <c r="B85" s="2" t="n">
        <v>6</v>
      </c>
      <c r="C85" s="2" t="inlineStr">
        <is>
          <t>Louth won by four points</t>
        </is>
      </c>
      <c r="D85" s="2" t="inlineStr">
        <is>
          <t>margin</t>
        </is>
      </c>
      <c r="E85" s="2" t="inlineStr">
        <is>
          <t>ok</t>
        </is>
      </c>
      <c r="F85" s="2" t="inlineStr"/>
      <c r="G85" s="2" t="inlineStr"/>
    </row>
    <row r="86">
      <c r="A86" s="2" t="n">
        <v>85</v>
      </c>
      <c r="B86" s="2" t="n">
        <v>6</v>
      </c>
      <c r="C86" s="2" t="inlineStr">
        <is>
          <t>Sunday, April 28</t>
        </is>
      </c>
      <c r="D86" s="2" t="inlineStr">
        <is>
          <t>date</t>
        </is>
      </c>
      <c r="E86" s="2" t="inlineStr">
        <is>
          <t>ok</t>
        </is>
      </c>
      <c r="F86" s="2" t="inlineStr"/>
      <c r="G86" s="2" t="inlineStr">
        <is>
          <t>weekday is not in the input; computed and correct</t>
        </is>
      </c>
    </row>
    <row r="87">
      <c r="A87" s="3" t="n">
        <v>86</v>
      </c>
      <c r="B87" s="3" t="n">
        <v>6</v>
      </c>
      <c r="C87" s="3" t="inlineStr">
        <is>
          <t>Louth into the Senior Football Championship final / "booked their passage to the decider" (headline and text)</t>
        </is>
      </c>
      <c r="D87" s="3" t="inlineStr">
        <is>
          <t>stage</t>
        </is>
      </c>
      <c r="E87" s="3" t="inlineStr">
        <is>
          <t>error</t>
        </is>
      </c>
      <c r="F87" s="3" t="inlineStr">
        <is>
          <t>wrong context</t>
        </is>
      </c>
      <c r="G87" s="3" t="inlineStr">
        <is>
          <t>the input says only "Semi-final"; the model read it as the All-Ireland semi-final and invented a final</t>
        </is>
      </c>
    </row>
    <row r="88">
      <c r="A88" s="2" t="n">
        <v>87</v>
      </c>
      <c r="B88" s="2" t="n">
        <v>6</v>
      </c>
      <c r="C88" s="2" t="inlineStr">
        <is>
          <t>semi-final decided entirely by points</t>
        </is>
      </c>
      <c r="D88" s="2" t="inlineStr">
        <is>
          <t>final score</t>
        </is>
      </c>
      <c r="E88" s="2" t="inlineStr">
        <is>
          <t>ok</t>
        </is>
      </c>
      <c r="F88" s="2" t="inlineStr"/>
      <c r="G88" s="2" t="inlineStr"/>
    </row>
    <row r="89">
      <c r="A89" s="2" t="n">
        <v>88</v>
      </c>
      <c r="B89" s="2" t="n">
        <v>6</v>
      </c>
      <c r="C89" s="2" t="inlineStr">
        <is>
          <t>Mulroy seven points</t>
        </is>
      </c>
      <c r="D89" s="2" t="inlineStr">
        <is>
          <t>scorer total</t>
        </is>
      </c>
      <c r="E89" s="2" t="inlineStr">
        <is>
          <t>ok</t>
        </is>
      </c>
      <c r="F89" s="2" t="inlineStr"/>
      <c r="G89" s="2" t="inlineStr"/>
    </row>
    <row r="90">
      <c r="A90" s="2" t="n">
        <v>89</v>
      </c>
      <c r="B90" s="2" t="n">
        <v>6</v>
      </c>
      <c r="C90" s="2" t="inlineStr">
        <is>
          <t>Mulroy: two from play, four frees, a '45</t>
        </is>
      </c>
      <c r="D90" s="2" t="inlineStr">
        <is>
          <t>scorer detail</t>
        </is>
      </c>
      <c r="E90" s="2" t="inlineStr">
        <is>
          <t>ok</t>
        </is>
      </c>
      <c r="F90" s="2" t="inlineStr"/>
      <c r="G90" s="2" t="inlineStr"/>
    </row>
    <row r="91">
      <c r="A91" s="2" t="n">
        <v>90</v>
      </c>
      <c r="B91" s="2" t="n">
        <v>6</v>
      </c>
      <c r="C91" s="2" t="inlineStr">
        <is>
          <t>Louth eight scorers</t>
        </is>
      </c>
      <c r="D91" s="2" t="inlineStr">
        <is>
          <t>count</t>
        </is>
      </c>
      <c r="E91" s="2" t="inlineStr">
        <is>
          <t>ok</t>
        </is>
      </c>
      <c r="F91" s="2" t="inlineStr"/>
      <c r="G91" s="2" t="inlineStr"/>
    </row>
    <row r="92">
      <c r="A92" s="2" t="n">
        <v>91</v>
      </c>
      <c r="B92" s="2" t="n">
        <v>6</v>
      </c>
      <c r="C92" s="2" t="inlineStr">
        <is>
          <t>Durnin, Grimes, Lennon two each</t>
        </is>
      </c>
      <c r="D92" s="2" t="inlineStr">
        <is>
          <t>scorer total</t>
        </is>
      </c>
      <c r="E92" s="2" t="inlineStr">
        <is>
          <t>ok</t>
        </is>
      </c>
      <c r="F92" s="2" t="inlineStr"/>
      <c r="G92" s="2" t="inlineStr"/>
    </row>
    <row r="93">
      <c r="A93" s="2" t="n">
        <v>92</v>
      </c>
      <c r="B93" s="2" t="n">
        <v>6</v>
      </c>
      <c r="C93" s="2" t="inlineStr">
        <is>
          <t>Burns, Downey, Mathews, Sharkey one each</t>
        </is>
      </c>
      <c r="D93" s="2" t="inlineStr">
        <is>
          <t>scorer total</t>
        </is>
      </c>
      <c r="E93" s="2" t="inlineStr">
        <is>
          <t>ok</t>
        </is>
      </c>
      <c r="F93" s="2" t="inlineStr"/>
      <c r="G93" s="2" t="inlineStr"/>
    </row>
    <row r="94">
      <c r="A94" s="2" t="n">
        <v>93</v>
      </c>
      <c r="B94" s="2" t="n">
        <v>6</v>
      </c>
      <c r="C94" s="2" t="inlineStr">
        <is>
          <t>Louth 12 points from play to Kildare's six</t>
        </is>
      </c>
      <c r="D94" s="2" t="inlineStr">
        <is>
          <t>derived</t>
        </is>
      </c>
      <c r="E94" s="2" t="inlineStr">
        <is>
          <t>ok</t>
        </is>
      </c>
      <c r="F94" s="2" t="inlineStr"/>
      <c r="G94" s="2" t="inlineStr">
        <is>
          <t>assumes unmarked points are from play</t>
        </is>
      </c>
    </row>
    <row r="95">
      <c r="A95" s="2" t="n">
        <v>94</v>
      </c>
      <c r="B95" s="2" t="n">
        <v>6</v>
      </c>
      <c r="C95" s="2" t="inlineStr">
        <is>
          <t>Kildare 7 of 13 from placed balls; Louth 5 of 17</t>
        </is>
      </c>
      <c r="D95" s="2" t="inlineStr">
        <is>
          <t>derived</t>
        </is>
      </c>
      <c r="E95" s="2" t="inlineStr">
        <is>
          <t>ok</t>
        </is>
      </c>
      <c r="F95" s="2" t="inlineStr"/>
      <c r="G95" s="2" t="inlineStr"/>
    </row>
    <row r="96">
      <c r="A96" s="2" t="n">
        <v>95</v>
      </c>
      <c r="B96" s="2" t="n">
        <v>6</v>
      </c>
      <c r="C96" s="2" t="inlineStr">
        <is>
          <t>Feely top scorer, four, two from frees</t>
        </is>
      </c>
      <c r="D96" s="2" t="inlineStr">
        <is>
          <t>scorer detail</t>
        </is>
      </c>
      <c r="E96" s="2" t="inlineStr">
        <is>
          <t>ok</t>
        </is>
      </c>
      <c r="F96" s="2" t="inlineStr"/>
      <c r="G96" s="2" t="inlineStr"/>
    </row>
    <row r="97">
      <c r="A97" s="2" t="n">
        <v>96</v>
      </c>
      <c r="B97" s="2" t="n">
        <v>6</v>
      </c>
      <c r="C97" s="2" t="inlineStr">
        <is>
          <t>Farrell three frees; Woodgate two placed balls</t>
        </is>
      </c>
      <c r="D97" s="2" t="inlineStr">
        <is>
          <t>scorer detail</t>
        </is>
      </c>
      <c r="E97" s="2" t="inlineStr">
        <is>
          <t>ok</t>
        </is>
      </c>
      <c r="F97" s="2" t="inlineStr"/>
      <c r="G97" s="2" t="inlineStr"/>
    </row>
    <row r="98">
      <c r="A98" s="2" t="n">
        <v>97</v>
      </c>
      <c r="B98" s="2" t="n">
        <v>6</v>
      </c>
      <c r="C98" s="2" t="inlineStr">
        <is>
          <t>Kirwan two from play; Archbold and Flynn one each</t>
        </is>
      </c>
      <c r="D98" s="2" t="inlineStr">
        <is>
          <t>scorer total</t>
        </is>
      </c>
      <c r="E98" s="2" t="inlineStr">
        <is>
          <t>ok</t>
        </is>
      </c>
      <c r="F98" s="2" t="inlineStr"/>
      <c r="G98" s="2" t="inlineStr"/>
    </row>
    <row r="99">
      <c r="A99" s="2" t="n">
        <v>98</v>
      </c>
      <c r="B99" s="2" t="n">
        <v>6</v>
      </c>
      <c r="C99" s="2" t="inlineStr">
        <is>
          <t>Louth's other scorers 10 points</t>
        </is>
      </c>
      <c r="D99" s="2" t="inlineStr">
        <is>
          <t>derived</t>
        </is>
      </c>
      <c r="E99" s="2" t="inlineStr">
        <is>
          <t>ok</t>
        </is>
      </c>
      <c r="F99" s="2" t="inlineStr"/>
      <c r="G99" s="2" t="inlineStr"/>
    </row>
    <row r="100">
      <c r="A100" s="4" t="n">
        <v>99</v>
      </c>
      <c r="B100" s="4" t="n">
        <v>6</v>
      </c>
      <c r="C100" s="4" t="inlineStr">
        <is>
          <t>first name "Sam" for Mulroy</t>
        </is>
      </c>
      <c r="D100" s="4" t="inlineStr">
        <is>
          <t>added info</t>
        </is>
      </c>
      <c r="E100" s="4" t="inlineStr">
        <is>
          <t>not in data (true)</t>
        </is>
      </c>
      <c r="F100" s="4" t="inlineStr"/>
      <c r="G100" s="4" t="inlineStr">
        <is>
          <t>not in the input</t>
        </is>
      </c>
    </row>
    <row r="101">
      <c r="A101" s="2" t="n">
        <v>100</v>
      </c>
      <c r="B101" s="2" t="n">
        <v>7</v>
      </c>
      <c r="C101" s="2" t="inlineStr">
        <is>
          <t>Dublin 0-17 Mayo 0-17, a draw</t>
        </is>
      </c>
      <c r="D101" s="2" t="inlineStr">
        <is>
          <t>final score</t>
        </is>
      </c>
      <c r="E101" s="2" t="inlineStr">
        <is>
          <t>ok</t>
        </is>
      </c>
      <c r="F101" s="2" t="inlineStr"/>
      <c r="G101" s="2" t="inlineStr"/>
    </row>
    <row r="102">
      <c r="A102" s="2" t="n">
        <v>101</v>
      </c>
      <c r="B102" s="2" t="n">
        <v>7</v>
      </c>
      <c r="C102" s="2" t="inlineStr">
        <is>
          <t>draw (no winner)</t>
        </is>
      </c>
      <c r="D102" s="2" t="inlineStr">
        <is>
          <t>winner</t>
        </is>
      </c>
      <c r="E102" s="2" t="inlineStr">
        <is>
          <t>ok</t>
        </is>
      </c>
      <c r="F102" s="2" t="inlineStr"/>
      <c r="G102" s="2" t="inlineStr"/>
    </row>
    <row r="103">
      <c r="A103" s="2" t="n">
        <v>102</v>
      </c>
      <c r="B103" s="2" t="n">
        <v>7</v>
      </c>
      <c r="C103" s="2" t="inlineStr">
        <is>
          <t>Sunday, June 16; Round 3</t>
        </is>
      </c>
      <c r="D103" s="2" t="inlineStr">
        <is>
          <t>date</t>
        </is>
      </c>
      <c r="E103" s="2" t="inlineStr">
        <is>
          <t>ok</t>
        </is>
      </c>
      <c r="F103" s="2" t="inlineStr"/>
      <c r="G103" s="2" t="inlineStr">
        <is>
          <t>weekday is not in the input; computed and correct</t>
        </is>
      </c>
    </row>
    <row r="104">
      <c r="A104" s="2" t="n">
        <v>103</v>
      </c>
      <c r="B104" s="2" t="n">
        <v>7</v>
      </c>
      <c r="C104" s="2" t="inlineStr">
        <is>
          <t>neither side scored a goal</t>
        </is>
      </c>
      <c r="D104" s="2" t="inlineStr">
        <is>
          <t>final score</t>
        </is>
      </c>
      <c r="E104" s="2" t="inlineStr">
        <is>
          <t>ok</t>
        </is>
      </c>
      <c r="F104" s="2" t="inlineStr"/>
      <c r="G104" s="2" t="inlineStr"/>
    </row>
    <row r="105">
      <c r="A105" s="2" t="n">
        <v>104</v>
      </c>
      <c r="B105" s="2" t="n">
        <v>7</v>
      </c>
      <c r="C105" s="2" t="inlineStr">
        <is>
          <t>Costello and O'Donoghue seven points each</t>
        </is>
      </c>
      <c r="D105" s="2" t="inlineStr">
        <is>
          <t>scorer total</t>
        </is>
      </c>
      <c r="E105" s="2" t="inlineStr">
        <is>
          <t>ok</t>
        </is>
      </c>
      <c r="F105" s="2" t="inlineStr"/>
      <c r="G105" s="2" t="inlineStr"/>
    </row>
    <row r="106">
      <c r="A106" s="2" t="n">
        <v>105</v>
      </c>
      <c r="B106" s="2" t="n">
        <v>7</v>
      </c>
      <c r="C106" s="2" t="inlineStr">
        <is>
          <t>Costello four from play and three frees</t>
        </is>
      </c>
      <c r="D106" s="2" t="inlineStr">
        <is>
          <t>scorer detail</t>
        </is>
      </c>
      <c r="E106" s="2" t="inlineStr">
        <is>
          <t>ok</t>
        </is>
      </c>
      <c r="F106" s="2" t="inlineStr"/>
      <c r="G106" s="2" t="inlineStr"/>
    </row>
    <row r="107">
      <c r="A107" s="2" t="n">
        <v>106</v>
      </c>
      <c r="B107" s="2" t="n">
        <v>7</v>
      </c>
      <c r="C107" s="2" t="inlineStr">
        <is>
          <t>five of O'Donoghue's seven from placed balls</t>
        </is>
      </c>
      <c r="D107" s="2" t="inlineStr">
        <is>
          <t>scorer detail</t>
        </is>
      </c>
      <c r="E107" s="2" t="inlineStr">
        <is>
          <t>ok</t>
        </is>
      </c>
      <c r="F107" s="2" t="inlineStr"/>
      <c r="G107" s="2" t="inlineStr"/>
    </row>
    <row r="108">
      <c r="A108" s="2" t="n">
        <v>107</v>
      </c>
      <c r="B108" s="2" t="n">
        <v>7</v>
      </c>
      <c r="C108" s="2" t="inlineStr">
        <is>
          <t>Ten Dublin scorers</t>
        </is>
      </c>
      <c r="D108" s="2" t="inlineStr">
        <is>
          <t>count</t>
        </is>
      </c>
      <c r="E108" s="2" t="inlineStr">
        <is>
          <t>ok</t>
        </is>
      </c>
      <c r="F108" s="2" t="inlineStr"/>
      <c r="G108" s="2" t="inlineStr"/>
    </row>
    <row r="109">
      <c r="A109" s="2" t="n">
        <v>108</v>
      </c>
      <c r="B109" s="2" t="n">
        <v>7</v>
      </c>
      <c r="C109" s="2" t="inlineStr">
        <is>
          <t>Basquel two points</t>
        </is>
      </c>
      <c r="D109" s="2" t="inlineStr">
        <is>
          <t>scorer total</t>
        </is>
      </c>
      <c r="E109" s="2" t="inlineStr">
        <is>
          <t>ok</t>
        </is>
      </c>
      <c r="F109" s="2" t="inlineStr"/>
      <c r="G109" s="2" t="inlineStr"/>
    </row>
    <row r="110">
      <c r="A110" s="3" t="n">
        <v>109</v>
      </c>
      <c r="B110" s="3" t="n">
        <v>7</v>
      </c>
      <c r="C110" s="3" t="inlineStr">
        <is>
          <t>"Brian Howard's fellow Dublin contributors" (Howard is not in the input)</t>
        </is>
      </c>
      <c r="D110" s="3" t="inlineStr">
        <is>
          <t>invented entity</t>
        </is>
      </c>
      <c r="E110" s="3" t="inlineStr">
        <is>
          <t>error</t>
        </is>
      </c>
      <c r="F110" s="3" t="inlineStr">
        <is>
          <t>invented name</t>
        </is>
      </c>
      <c r="G110" s="3" t="inlineStr">
        <is>
          <t>no Howard among the Dublin scorers</t>
        </is>
      </c>
    </row>
    <row r="111">
      <c r="A111" s="2" t="n">
        <v>110</v>
      </c>
      <c r="B111" s="2" t="n">
        <v>7</v>
      </c>
      <c r="C111" s="2" t="inlineStr">
        <is>
          <t>Fenton was not among the scorers</t>
        </is>
      </c>
      <c r="D111" s="2" t="inlineStr">
        <is>
          <t>scorer total</t>
        </is>
      </c>
      <c r="E111" s="2" t="inlineStr">
        <is>
          <t>ok</t>
        </is>
      </c>
      <c r="F111" s="2" t="inlineStr"/>
      <c r="G111" s="2" t="inlineStr"/>
    </row>
    <row r="112">
      <c r="A112" s="2" t="n">
        <v>111</v>
      </c>
      <c r="B112" s="2" t="n">
        <v>7</v>
      </c>
      <c r="C112" s="2" t="inlineStr">
        <is>
          <t>Bugler, Kilkenny, Mannion, McCaffrey, Murchan, O'Callaghan, Scully, Small one each</t>
        </is>
      </c>
      <c r="D112" s="2" t="inlineStr">
        <is>
          <t>scorer total</t>
        </is>
      </c>
      <c r="E112" s="2" t="inlineStr">
        <is>
          <t>ok</t>
        </is>
      </c>
      <c r="F112" s="2" t="inlineStr"/>
      <c r="G112" s="2" t="inlineStr"/>
    </row>
    <row r="113">
      <c r="A113" s="2" t="n">
        <v>112</v>
      </c>
      <c r="B113" s="2" t="n">
        <v>7</v>
      </c>
      <c r="C113" s="2" t="inlineStr">
        <is>
          <t>Mayo eight scorers</t>
        </is>
      </c>
      <c r="D113" s="2" t="inlineStr">
        <is>
          <t>count</t>
        </is>
      </c>
      <c r="E113" s="2" t="inlineStr">
        <is>
          <t>ok</t>
        </is>
      </c>
      <c r="F113" s="2" t="inlineStr"/>
      <c r="G113" s="2" t="inlineStr"/>
    </row>
    <row r="114">
      <c r="A114" s="2" t="n">
        <v>113</v>
      </c>
      <c r="B114" s="2" t="n">
        <v>7</v>
      </c>
      <c r="C114" s="2" t="inlineStr">
        <is>
          <t>Conroy three; Ruane two; Coen, Flynn, Loftus one each from play</t>
        </is>
      </c>
      <c r="D114" s="2" t="inlineStr">
        <is>
          <t>scorer total</t>
        </is>
      </c>
      <c r="E114" s="2" t="inlineStr">
        <is>
          <t>ok</t>
        </is>
      </c>
      <c r="F114" s="2" t="inlineStr"/>
      <c r="G114" s="2" t="inlineStr"/>
    </row>
    <row r="115">
      <c r="A115" s="2" t="n">
        <v>114</v>
      </c>
      <c r="B115" s="2" t="n">
        <v>7</v>
      </c>
      <c r="C115" s="2" t="inlineStr">
        <is>
          <t>O'Shea a free; Reape a 45</t>
        </is>
      </c>
      <c r="D115" s="2" t="inlineStr">
        <is>
          <t>scorer detail</t>
        </is>
      </c>
      <c r="E115" s="2" t="inlineStr">
        <is>
          <t>ok</t>
        </is>
      </c>
      <c r="F115" s="2" t="inlineStr"/>
      <c r="G115" s="2" t="inlineStr"/>
    </row>
    <row r="116">
      <c r="A116" s="4" t="n">
        <v>115</v>
      </c>
      <c r="B116" s="4" t="n">
        <v>7</v>
      </c>
      <c r="C116" s="4" t="inlineStr">
        <is>
          <t>Reape is the goalkeeper</t>
        </is>
      </c>
      <c r="D116" s="4" t="inlineStr">
        <is>
          <t>added info</t>
        </is>
      </c>
      <c r="E116" s="4" t="inlineStr">
        <is>
          <t>not in data (true)</t>
        </is>
      </c>
      <c r="F116" s="4" t="inlineStr"/>
      <c r="G116" s="4" t="inlineStr">
        <is>
          <t>position not in the input</t>
        </is>
      </c>
    </row>
    <row r="117">
      <c r="A117" s="2" t="n">
        <v>116</v>
      </c>
      <c r="B117" s="2" t="n">
        <v>7</v>
      </c>
      <c r="C117" s="2" t="inlineStr">
        <is>
          <t>Dublin 14 points from play to Mayo's 10</t>
        </is>
      </c>
      <c r="D117" s="2" t="inlineStr">
        <is>
          <t>derived</t>
        </is>
      </c>
      <c r="E117" s="2" t="inlineStr">
        <is>
          <t>ok</t>
        </is>
      </c>
      <c r="F117" s="2" t="inlineStr"/>
      <c r="G117" s="2" t="inlineStr"/>
    </row>
    <row r="118">
      <c r="A118" s="4" t="n">
        <v>117</v>
      </c>
      <c r="B118" s="4" t="n">
        <v>7</v>
      </c>
      <c r="C118" s="4" t="inlineStr">
        <is>
          <t>first names Cormac, Ryan, Colm</t>
        </is>
      </c>
      <c r="D118" s="4" t="inlineStr">
        <is>
          <t>added info</t>
        </is>
      </c>
      <c r="E118" s="4" t="inlineStr">
        <is>
          <t>not in data (true)</t>
        </is>
      </c>
      <c r="F118" s="4" t="inlineStr"/>
      <c r="G118" s="4" t="inlineStr">
        <is>
          <t>not in the input</t>
        </is>
      </c>
    </row>
    <row r="119">
      <c r="A119" s="2" t="n">
        <v>118</v>
      </c>
      <c r="B119" s="2" t="n">
        <v>8</v>
      </c>
      <c r="C119" s="2" t="inlineStr">
        <is>
          <t>Donegal 2-23 Clare 0-5</t>
        </is>
      </c>
      <c r="D119" s="2" t="inlineStr">
        <is>
          <t>final score</t>
        </is>
      </c>
      <c r="E119" s="2" t="inlineStr">
        <is>
          <t>ok</t>
        </is>
      </c>
      <c r="F119" s="2" t="inlineStr"/>
      <c r="G119" s="2" t="inlineStr"/>
    </row>
    <row r="120">
      <c r="A120" s="2" t="n">
        <v>119</v>
      </c>
      <c r="B120" s="2" t="n">
        <v>8</v>
      </c>
      <c r="C120" s="2" t="inlineStr">
        <is>
          <t>Donegal won by 24 points</t>
        </is>
      </c>
      <c r="D120" s="2" t="inlineStr">
        <is>
          <t>margin</t>
        </is>
      </c>
      <c r="E120" s="2" t="inlineStr">
        <is>
          <t>ok</t>
        </is>
      </c>
      <c r="F120" s="2" t="inlineStr"/>
      <c r="G120" s="2" t="inlineStr"/>
    </row>
    <row r="121">
      <c r="A121" s="2" t="n">
        <v>120</v>
      </c>
      <c r="B121" s="2" t="n">
        <v>8</v>
      </c>
      <c r="C121" s="2" t="inlineStr">
        <is>
          <t>Saturday, June 15; Round 3</t>
        </is>
      </c>
      <c r="D121" s="2" t="inlineStr">
        <is>
          <t>date</t>
        </is>
      </c>
      <c r="E121" s="2" t="inlineStr">
        <is>
          <t>ok</t>
        </is>
      </c>
      <c r="F121" s="2" t="inlineStr"/>
      <c r="G121" s="2" t="inlineStr">
        <is>
          <t>weekday is not in the input; computed and correct</t>
        </is>
      </c>
    </row>
    <row r="122">
      <c r="A122" s="2" t="n">
        <v>121</v>
      </c>
      <c r="B122" s="2" t="n">
        <v>8</v>
      </c>
      <c r="C122" s="2" t="inlineStr">
        <is>
          <t>Gallen and McHugh both 1-4, the two goals</t>
        </is>
      </c>
      <c r="D122" s="2" t="inlineStr">
        <is>
          <t>scorer total</t>
        </is>
      </c>
      <c r="E122" s="2" t="inlineStr">
        <is>
          <t>ok</t>
        </is>
      </c>
      <c r="F122" s="2" t="inlineStr"/>
      <c r="G122" s="2" t="inlineStr"/>
    </row>
    <row r="123">
      <c r="A123" s="2" t="n">
        <v>122</v>
      </c>
      <c r="B123" s="2" t="n">
        <v>8</v>
      </c>
      <c r="C123" s="2" t="inlineStr">
        <is>
          <t>Donegal spread across 11 scorers</t>
        </is>
      </c>
      <c r="D123" s="2" t="inlineStr">
        <is>
          <t>count</t>
        </is>
      </c>
      <c r="E123" s="2" t="inlineStr">
        <is>
          <t>ok</t>
        </is>
      </c>
      <c r="F123" s="2" t="inlineStr"/>
      <c r="G123" s="2" t="inlineStr"/>
    </row>
    <row r="124">
      <c r="A124" s="2" t="n">
        <v>123</v>
      </c>
      <c r="B124" s="2" t="n">
        <v>8</v>
      </c>
      <c r="C124" s="2" t="inlineStr">
        <is>
          <t>Clare five points, four by McMahon</t>
        </is>
      </c>
      <c r="D124" s="2" t="inlineStr">
        <is>
          <t>scorer total</t>
        </is>
      </c>
      <c r="E124" s="2" t="inlineStr">
        <is>
          <t>ok</t>
        </is>
      </c>
      <c r="F124" s="2" t="inlineStr"/>
      <c r="G124" s="2" t="inlineStr"/>
    </row>
    <row r="125">
      <c r="A125" s="2" t="n">
        <v>124</v>
      </c>
      <c r="B125" s="2" t="n">
        <v>8</v>
      </c>
      <c r="C125" s="2" t="inlineStr">
        <is>
          <t>Donegal's final tally of 29 points</t>
        </is>
      </c>
      <c r="D125" s="2" t="inlineStr">
        <is>
          <t>derived</t>
        </is>
      </c>
      <c r="E125" s="2" t="inlineStr">
        <is>
          <t>ok</t>
        </is>
      </c>
      <c r="F125" s="2" t="inlineStr"/>
      <c r="G125" s="2" t="inlineStr"/>
    </row>
    <row r="126">
      <c r="A126" s="2" t="n">
        <v>125</v>
      </c>
      <c r="B126" s="2" t="n">
        <v>8</v>
      </c>
      <c r="C126" s="2" t="inlineStr">
        <is>
          <t>McBrearty five including one free</t>
        </is>
      </c>
      <c r="D126" s="2" t="inlineStr">
        <is>
          <t>scorer detail</t>
        </is>
      </c>
      <c r="E126" s="2" t="inlineStr">
        <is>
          <t>ok</t>
        </is>
      </c>
      <c r="F126" s="2" t="inlineStr"/>
      <c r="G126" s="2" t="inlineStr"/>
    </row>
    <row r="127">
      <c r="A127" s="2" t="n">
        <v>126</v>
      </c>
      <c r="B127" s="2" t="n">
        <v>8</v>
      </c>
      <c r="C127" s="2" t="inlineStr">
        <is>
          <t>Gallen and McHugh seven points each</t>
        </is>
      </c>
      <c r="D127" s="2" t="inlineStr">
        <is>
          <t>derived</t>
        </is>
      </c>
      <c r="E127" s="2" t="inlineStr">
        <is>
          <t>ok</t>
        </is>
      </c>
      <c r="F127" s="2" t="inlineStr"/>
      <c r="G127" s="2" t="inlineStr"/>
    </row>
    <row r="128">
      <c r="A128" s="2" t="n">
        <v>127</v>
      </c>
      <c r="B128" s="2" t="n">
        <v>8</v>
      </c>
      <c r="C128" s="2" t="inlineStr">
        <is>
          <t>Gallen included two converted 45s</t>
        </is>
      </c>
      <c r="D128" s="2" t="inlineStr">
        <is>
          <t>scorer detail</t>
        </is>
      </c>
      <c r="E128" s="2" t="inlineStr">
        <is>
          <t>ok</t>
        </is>
      </c>
      <c r="F128" s="2" t="inlineStr"/>
      <c r="G128" s="2" t="inlineStr"/>
    </row>
    <row r="129">
      <c r="A129" s="2" t="n">
        <v>128</v>
      </c>
      <c r="B129" s="2" t="n">
        <v>8</v>
      </c>
      <c r="C129" s="2" t="inlineStr">
        <is>
          <t>C O'Donnell and Thompson two; six others one each</t>
        </is>
      </c>
      <c r="D129" s="2" t="inlineStr">
        <is>
          <t>scorer total</t>
        </is>
      </c>
      <c r="E129" s="2" t="inlineStr">
        <is>
          <t>ok</t>
        </is>
      </c>
      <c r="F129" s="2" t="inlineStr"/>
      <c r="G129" s="2" t="inlineStr"/>
    </row>
    <row r="130">
      <c r="A130" s="2" t="n">
        <v>129</v>
      </c>
      <c r="B130" s="2" t="n">
        <v>8</v>
      </c>
      <c r="C130" s="2" t="inlineStr">
        <is>
          <t>three of McMahon's four from frees; O'Donnell the only other Clare score</t>
        </is>
      </c>
      <c r="D130" s="2" t="inlineStr">
        <is>
          <t>scorer detail</t>
        </is>
      </c>
      <c r="E130" s="2" t="inlineStr">
        <is>
          <t>ok</t>
        </is>
      </c>
      <c r="F130" s="2" t="inlineStr"/>
      <c r="G130" s="2" t="inlineStr"/>
    </row>
    <row r="131">
      <c r="A131" s="2" t="n">
        <v>130</v>
      </c>
      <c r="B131" s="2" t="n">
        <v>8</v>
      </c>
      <c r="C131" s="2" t="inlineStr">
        <is>
          <t>Clare two points from play</t>
        </is>
      </c>
      <c r="D131" s="2" t="inlineStr">
        <is>
          <t>derived</t>
        </is>
      </c>
      <c r="E131" s="2" t="inlineStr">
        <is>
          <t>ok</t>
        </is>
      </c>
      <c r="F131" s="2" t="inlineStr"/>
      <c r="G131" s="2" t="inlineStr"/>
    </row>
    <row r="132">
      <c r="A132" s="2" t="n">
        <v>131</v>
      </c>
      <c r="B132" s="2" t="n">
        <v>8</v>
      </c>
      <c r="C132" s="2" t="inlineStr">
        <is>
          <t>two goals and 23 points</t>
        </is>
      </c>
      <c r="D132" s="2" t="inlineStr">
        <is>
          <t>final score</t>
        </is>
      </c>
      <c r="E132" s="2" t="inlineStr">
        <is>
          <t>ok</t>
        </is>
      </c>
      <c r="F132" s="2" t="inlineStr"/>
      <c r="G132" s="2" t="inlineStr"/>
    </row>
    <row r="133">
      <c r="A133" s="2" t="n">
        <v>132</v>
      </c>
      <c r="B133" s="2" t="n">
        <v>9</v>
      </c>
      <c r="C133" s="2" t="inlineStr">
        <is>
          <t>Galway 0-17 Dublin 0-16</t>
        </is>
      </c>
      <c r="D133" s="2" t="inlineStr">
        <is>
          <t>final score</t>
        </is>
      </c>
      <c r="E133" s="2" t="inlineStr">
        <is>
          <t>ok</t>
        </is>
      </c>
      <c r="F133" s="2" t="inlineStr"/>
      <c r="G133" s="2" t="inlineStr"/>
    </row>
    <row r="134">
      <c r="A134" s="2" t="n">
        <v>133</v>
      </c>
      <c r="B134" s="2" t="n">
        <v>9</v>
      </c>
      <c r="C134" s="2" t="inlineStr">
        <is>
          <t>Galway won by one point</t>
        </is>
      </c>
      <c r="D134" s="2" t="inlineStr">
        <is>
          <t>margin</t>
        </is>
      </c>
      <c r="E134" s="2" t="inlineStr">
        <is>
          <t>ok</t>
        </is>
      </c>
      <c r="F134" s="2" t="inlineStr"/>
      <c r="G134" s="2" t="inlineStr"/>
    </row>
    <row r="135">
      <c r="A135" s="2" t="n">
        <v>134</v>
      </c>
      <c r="B135" s="2" t="n">
        <v>9</v>
      </c>
      <c r="C135" s="2" t="inlineStr">
        <is>
          <t>Saturday, June 29; quarter-final; semi-final place</t>
        </is>
      </c>
      <c r="D135" s="2" t="inlineStr">
        <is>
          <t>date</t>
        </is>
      </c>
      <c r="E135" s="2" t="inlineStr">
        <is>
          <t>ok</t>
        </is>
      </c>
      <c r="F135" s="2" t="inlineStr"/>
      <c r="G135" s="2" t="inlineStr">
        <is>
          <t>weekday is not in the input; computed and correct</t>
        </is>
      </c>
    </row>
    <row r="136">
      <c r="A136" s="4" t="n">
        <v>135</v>
      </c>
      <c r="B136" s="4" t="n">
        <v>9</v>
      </c>
      <c r="C136" s="4" t="inlineStr">
        <is>
          <t>Galway ended Dublin's reign as All-Ireland champions</t>
        </is>
      </c>
      <c r="D136" s="4" t="inlineStr">
        <is>
          <t>stage</t>
        </is>
      </c>
      <c r="E136" s="4" t="inlineStr">
        <is>
          <t>not in data (true)</t>
        </is>
      </c>
      <c r="F136" s="4" t="inlineStr"/>
      <c r="G136" s="4" t="inlineStr">
        <is>
          <t>not in the input; true (Dublin won the 2023 final 1-15 to 1-13, per the saved 2023 page)</t>
        </is>
      </c>
    </row>
    <row r="137">
      <c r="A137" s="2" t="n">
        <v>136</v>
      </c>
      <c r="B137" s="2" t="n">
        <v>9</v>
      </c>
      <c r="C137" s="2" t="inlineStr">
        <is>
          <t>Walsh seven: four frees, three from play</t>
        </is>
      </c>
      <c r="D137" s="2" t="inlineStr">
        <is>
          <t>scorer detail</t>
        </is>
      </c>
      <c r="E137" s="2" t="inlineStr">
        <is>
          <t>ok</t>
        </is>
      </c>
      <c r="F137" s="2" t="inlineStr"/>
      <c r="G137" s="2" t="inlineStr"/>
    </row>
    <row r="138">
      <c r="A138" s="2" t="n">
        <v>137</v>
      </c>
      <c r="B138" s="2" t="n">
        <v>9</v>
      </c>
      <c r="C138" s="2" t="inlineStr">
        <is>
          <t>McDaid three</t>
        </is>
      </c>
      <c r="D138" s="2" t="inlineStr">
        <is>
          <t>scorer total</t>
        </is>
      </c>
      <c r="E138" s="2" t="inlineStr">
        <is>
          <t>ok</t>
        </is>
      </c>
      <c r="F138" s="2" t="inlineStr"/>
      <c r="G138" s="2" t="inlineStr"/>
    </row>
    <row r="139">
      <c r="A139" s="2" t="n">
        <v>138</v>
      </c>
      <c r="B139" s="2" t="n">
        <v>9</v>
      </c>
      <c r="C139" s="2" t="inlineStr">
        <is>
          <t>Costello and O'Callaghan four each</t>
        </is>
      </c>
      <c r="D139" s="2" t="inlineStr">
        <is>
          <t>scorer total</t>
        </is>
      </c>
      <c r="E139" s="2" t="inlineStr">
        <is>
          <t>ok</t>
        </is>
      </c>
      <c r="F139" s="2" t="inlineStr"/>
      <c r="G139" s="2" t="inlineStr"/>
    </row>
    <row r="140">
      <c r="A140" s="2" t="n">
        <v>139</v>
      </c>
      <c r="B140" s="2" t="n">
        <v>9</v>
      </c>
      <c r="C140" s="2" t="inlineStr">
        <is>
          <t>Costello: two frees and a '45; O'Callaghan: two marks and a free</t>
        </is>
      </c>
      <c r="D140" s="2" t="inlineStr">
        <is>
          <t>scorer detail</t>
        </is>
      </c>
      <c r="E140" s="2" t="inlineStr">
        <is>
          <t>ok</t>
        </is>
      </c>
      <c r="F140" s="2" t="inlineStr"/>
      <c r="G140" s="2" t="inlineStr"/>
    </row>
    <row r="141">
      <c r="A141" s="2" t="n">
        <v>140</v>
      </c>
      <c r="B141" s="2" t="n">
        <v>9</v>
      </c>
      <c r="C141" s="2" t="inlineStr">
        <is>
          <t>Fenton and Mannion also scored</t>
        </is>
      </c>
      <c r="D141" s="2" t="inlineStr">
        <is>
          <t>scorer total</t>
        </is>
      </c>
      <c r="E141" s="2" t="inlineStr">
        <is>
          <t>ok</t>
        </is>
      </c>
      <c r="F141" s="2" t="inlineStr"/>
      <c r="G141" s="2" t="inlineStr"/>
    </row>
    <row r="142">
      <c r="A142" s="2" t="n">
        <v>141</v>
      </c>
      <c r="B142" s="2" t="n">
        <v>9</v>
      </c>
      <c r="C142" s="2" t="inlineStr">
        <is>
          <t>Bugler and Kilkenny two each; McGarry and Small one; Small from a mark</t>
        </is>
      </c>
      <c r="D142" s="2" t="inlineStr">
        <is>
          <t>scorer total</t>
        </is>
      </c>
      <c r="E142" s="2" t="inlineStr">
        <is>
          <t>ok</t>
        </is>
      </c>
      <c r="F142" s="2" t="inlineStr"/>
      <c r="G142" s="2" t="inlineStr"/>
    </row>
    <row r="143">
      <c r="A143" s="2" t="n">
        <v>142</v>
      </c>
      <c r="B143" s="2" t="n">
        <v>9</v>
      </c>
      <c r="C143" s="2" t="inlineStr">
        <is>
          <t>Tierney one from a mark</t>
        </is>
      </c>
      <c r="D143" s="2" t="inlineStr">
        <is>
          <t>scorer detail</t>
        </is>
      </c>
      <c r="E143" s="2" t="inlineStr">
        <is>
          <t>ok</t>
        </is>
      </c>
      <c r="F143" s="2" t="inlineStr"/>
      <c r="G143" s="2" t="inlineStr"/>
    </row>
    <row r="144">
      <c r="A144" s="3" t="n">
        <v>143</v>
      </c>
      <c r="B144" s="3" t="n">
        <v>9</v>
      </c>
      <c r="C144" s="3" t="inlineStr">
        <is>
          <t>"Cillian O Curraoin's attacking colleagues Culhane and Heaney" (O Curraoin is not in the input)</t>
        </is>
      </c>
      <c r="D144" s="3" t="inlineStr">
        <is>
          <t>invented entity</t>
        </is>
      </c>
      <c r="E144" s="3" t="inlineStr">
        <is>
          <t>error</t>
        </is>
      </c>
      <c r="F144" s="3" t="inlineStr">
        <is>
          <t>invented name</t>
        </is>
      </c>
      <c r="G144" s="3" t="inlineStr">
        <is>
          <t>no such player among the Galway scorers</t>
        </is>
      </c>
    </row>
    <row r="145">
      <c r="A145" s="2" t="n">
        <v>144</v>
      </c>
      <c r="B145" s="2" t="n">
        <v>9</v>
      </c>
      <c r="C145" s="2" t="inlineStr">
        <is>
          <t>Conroy, Culhane, Darcy, Heaney, Maher, McHugh one point each</t>
        </is>
      </c>
      <c r="D145" s="2" t="inlineStr">
        <is>
          <t>scorer total</t>
        </is>
      </c>
      <c r="E145" s="2" t="inlineStr">
        <is>
          <t>ok</t>
        </is>
      </c>
      <c r="F145" s="2" t="inlineStr"/>
      <c r="G145" s="2" t="inlineStr"/>
    </row>
    <row r="146">
      <c r="A146" s="4" t="n">
        <v>145</v>
      </c>
      <c r="B146" s="4" t="n">
        <v>9</v>
      </c>
      <c r="C146" s="4" t="inlineStr">
        <is>
          <t>first names for Dublin players (Brian Fenton, Paul Mannion, Sean Bugler, Ciaran Kilkenny)</t>
        </is>
      </c>
      <c r="D146" s="4" t="inlineStr">
        <is>
          <t>added info</t>
        </is>
      </c>
      <c r="E146" s="4" t="inlineStr">
        <is>
          <t>not in data (true)</t>
        </is>
      </c>
      <c r="F146" s="4" t="inlineStr"/>
      <c r="G146" s="4" t="inlineStr">
        <is>
          <t>not in the input; Fenton and Mannion appear in full on the saved 2023 page</t>
        </is>
      </c>
    </row>
    <row r="147">
      <c r="A147" s="6" t="n">
        <v>146</v>
      </c>
      <c r="B147" s="6" t="n">
        <v>9</v>
      </c>
      <c r="C147" s="6" t="inlineStr">
        <is>
          <t>first names for Galway players (Cillian McDaid, Patrick Culhane, Johnny Heaney, Cein Darcy, John Maher, Dylan McHugh)</t>
        </is>
      </c>
      <c r="D147" s="6" t="inlineStr">
        <is>
          <t>added info</t>
        </is>
      </c>
      <c r="E147" s="6" t="inlineStr">
        <is>
          <t>not in data (unverified)</t>
        </is>
      </c>
      <c r="F147" s="6" t="inlineStr"/>
      <c r="G147" s="6" t="inlineStr">
        <is>
          <t>not in the input; not checked</t>
        </is>
      </c>
    </row>
  </sheetData>
  <autoFilter ref="A1:G147"/>
  <dataValidations count="1">
    <dataValidation sqref="E2:E147" showDropDown="0" showInputMessage="0" showErrorMessage="0" allowBlank="0" type="list">
      <formula1>"ok,error,partly,not in data (true),not in data (unverified)"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Claim type</t>
        </is>
      </c>
      <c r="B1" s="1" t="inlineStr">
        <is>
          <t>Claims</t>
        </is>
      </c>
      <c r="C1" s="1" t="inlineStr">
        <is>
          <t>ok</t>
        </is>
      </c>
      <c r="D1" s="1" t="inlineStr">
        <is>
          <t>error</t>
        </is>
      </c>
      <c r="E1" s="1" t="inlineStr">
        <is>
          <t>partly</t>
        </is>
      </c>
      <c r="F1" s="1" t="inlineStr">
        <is>
          <t>not in data (true)</t>
        </is>
      </c>
      <c r="G1" s="1" t="inlineStr">
        <is>
          <t>not in data (unverified)</t>
        </is>
      </c>
    </row>
    <row r="2">
      <c r="A2" t="inlineStr">
        <is>
          <t>added info</t>
        </is>
      </c>
      <c r="B2">
        <f>COUNTIF(Claims!$D$2:$D$147,A2)</f>
        <v/>
      </c>
      <c r="C2">
        <f>COUNTIFS(Claims!$D$2:$D$147,$A2,Claims!$E$2:$E$147,"ok")</f>
        <v/>
      </c>
      <c r="D2">
        <f>COUNTIFS(Claims!$D$2:$D$147,$A2,Claims!$E$2:$E$147,"error")</f>
        <v/>
      </c>
      <c r="E2">
        <f>COUNTIFS(Claims!$D$2:$D$147,$A2,Claims!$E$2:$E$147,"partly")</f>
        <v/>
      </c>
      <c r="F2">
        <f>COUNTIFS(Claims!$D$2:$D$147,$A2,Claims!$E$2:$E$147,"not in data (true)")</f>
        <v/>
      </c>
      <c r="G2">
        <f>COUNTIFS(Claims!$D$2:$D$147,$A2,Claims!$E$2:$E$147,"not in data (unverified)")</f>
        <v/>
      </c>
    </row>
    <row r="3">
      <c r="A3" t="inlineStr">
        <is>
          <t>count</t>
        </is>
      </c>
      <c r="B3">
        <f>COUNTIF(Claims!$D$2:$D$147,A3)</f>
        <v/>
      </c>
      <c r="C3">
        <f>COUNTIFS(Claims!$D$2:$D$147,$A3,Claims!$E$2:$E$147,"ok")</f>
        <v/>
      </c>
      <c r="D3">
        <f>COUNTIFS(Claims!$D$2:$D$147,$A3,Claims!$E$2:$E$147,"error")</f>
        <v/>
      </c>
      <c r="E3">
        <f>COUNTIFS(Claims!$D$2:$D$147,$A3,Claims!$E$2:$E$147,"partly")</f>
        <v/>
      </c>
      <c r="F3">
        <f>COUNTIFS(Claims!$D$2:$D$147,$A3,Claims!$E$2:$E$147,"not in data (true)")</f>
        <v/>
      </c>
      <c r="G3">
        <f>COUNTIFS(Claims!$D$2:$D$147,$A3,Claims!$E$2:$E$147,"not in data (unverified)")</f>
        <v/>
      </c>
    </row>
    <row r="4">
      <c r="A4" t="inlineStr">
        <is>
          <t>date</t>
        </is>
      </c>
      <c r="B4">
        <f>COUNTIF(Claims!$D$2:$D$147,A4)</f>
        <v/>
      </c>
      <c r="C4">
        <f>COUNTIFS(Claims!$D$2:$D$147,$A4,Claims!$E$2:$E$147,"ok")</f>
        <v/>
      </c>
      <c r="D4">
        <f>COUNTIFS(Claims!$D$2:$D$147,$A4,Claims!$E$2:$E$147,"error")</f>
        <v/>
      </c>
      <c r="E4">
        <f>COUNTIFS(Claims!$D$2:$D$147,$A4,Claims!$E$2:$E$147,"partly")</f>
        <v/>
      </c>
      <c r="F4">
        <f>COUNTIFS(Claims!$D$2:$D$147,$A4,Claims!$E$2:$E$147,"not in data (true)")</f>
        <v/>
      </c>
      <c r="G4">
        <f>COUNTIFS(Claims!$D$2:$D$147,$A4,Claims!$E$2:$E$147,"not in data (unverified)")</f>
        <v/>
      </c>
    </row>
    <row r="5">
      <c r="A5" t="inlineStr">
        <is>
          <t>derived</t>
        </is>
      </c>
      <c r="B5">
        <f>COUNTIF(Claims!$D$2:$D$147,A5)</f>
        <v/>
      </c>
      <c r="C5">
        <f>COUNTIFS(Claims!$D$2:$D$147,$A5,Claims!$E$2:$E$147,"ok")</f>
        <v/>
      </c>
      <c r="D5">
        <f>COUNTIFS(Claims!$D$2:$D$147,$A5,Claims!$E$2:$E$147,"error")</f>
        <v/>
      </c>
      <c r="E5">
        <f>COUNTIFS(Claims!$D$2:$D$147,$A5,Claims!$E$2:$E$147,"partly")</f>
        <v/>
      </c>
      <c r="F5">
        <f>COUNTIFS(Claims!$D$2:$D$147,$A5,Claims!$E$2:$E$147,"not in data (true)")</f>
        <v/>
      </c>
      <c r="G5">
        <f>COUNTIFS(Claims!$D$2:$D$147,$A5,Claims!$E$2:$E$147,"not in data (unverified)")</f>
        <v/>
      </c>
    </row>
    <row r="6">
      <c r="A6" t="inlineStr">
        <is>
          <t>final score</t>
        </is>
      </c>
      <c r="B6">
        <f>COUNTIF(Claims!$D$2:$D$147,A6)</f>
        <v/>
      </c>
      <c r="C6">
        <f>COUNTIFS(Claims!$D$2:$D$147,$A6,Claims!$E$2:$E$147,"ok")</f>
        <v/>
      </c>
      <c r="D6">
        <f>COUNTIFS(Claims!$D$2:$D$147,$A6,Claims!$E$2:$E$147,"error")</f>
        <v/>
      </c>
      <c r="E6">
        <f>COUNTIFS(Claims!$D$2:$D$147,$A6,Claims!$E$2:$E$147,"partly")</f>
        <v/>
      </c>
      <c r="F6">
        <f>COUNTIFS(Claims!$D$2:$D$147,$A6,Claims!$E$2:$E$147,"not in data (true)")</f>
        <v/>
      </c>
      <c r="G6">
        <f>COUNTIFS(Claims!$D$2:$D$147,$A6,Claims!$E$2:$E$147,"not in data (unverified)")</f>
        <v/>
      </c>
    </row>
    <row r="7">
      <c r="A7" t="inlineStr">
        <is>
          <t>invented entity</t>
        </is>
      </c>
      <c r="B7">
        <f>COUNTIF(Claims!$D$2:$D$147,A7)</f>
        <v/>
      </c>
      <c r="C7">
        <f>COUNTIFS(Claims!$D$2:$D$147,$A7,Claims!$E$2:$E$147,"ok")</f>
        <v/>
      </c>
      <c r="D7">
        <f>COUNTIFS(Claims!$D$2:$D$147,$A7,Claims!$E$2:$E$147,"error")</f>
        <v/>
      </c>
      <c r="E7">
        <f>COUNTIFS(Claims!$D$2:$D$147,$A7,Claims!$E$2:$E$147,"partly")</f>
        <v/>
      </c>
      <c r="F7">
        <f>COUNTIFS(Claims!$D$2:$D$147,$A7,Claims!$E$2:$E$147,"not in data (true)")</f>
        <v/>
      </c>
      <c r="G7">
        <f>COUNTIFS(Claims!$D$2:$D$147,$A7,Claims!$E$2:$E$147,"not in data (unverified)")</f>
        <v/>
      </c>
    </row>
    <row r="8">
      <c r="A8" t="inlineStr">
        <is>
          <t>margin</t>
        </is>
      </c>
      <c r="B8">
        <f>COUNTIF(Claims!$D$2:$D$147,A8)</f>
        <v/>
      </c>
      <c r="C8">
        <f>COUNTIFS(Claims!$D$2:$D$147,$A8,Claims!$E$2:$E$147,"ok")</f>
        <v/>
      </c>
      <c r="D8">
        <f>COUNTIFS(Claims!$D$2:$D$147,$A8,Claims!$E$2:$E$147,"error")</f>
        <v/>
      </c>
      <c r="E8">
        <f>COUNTIFS(Claims!$D$2:$D$147,$A8,Claims!$E$2:$E$147,"partly")</f>
        <v/>
      </c>
      <c r="F8">
        <f>COUNTIFS(Claims!$D$2:$D$147,$A8,Claims!$E$2:$E$147,"not in data (true)")</f>
        <v/>
      </c>
      <c r="G8">
        <f>COUNTIFS(Claims!$D$2:$D$147,$A8,Claims!$E$2:$E$147,"not in data (unverified)")</f>
        <v/>
      </c>
    </row>
    <row r="9">
      <c r="A9" t="inlineStr">
        <is>
          <t>ranking</t>
        </is>
      </c>
      <c r="B9">
        <f>COUNTIF(Claims!$D$2:$D$147,A9)</f>
        <v/>
      </c>
      <c r="C9">
        <f>COUNTIFS(Claims!$D$2:$D$147,$A9,Claims!$E$2:$E$147,"ok")</f>
        <v/>
      </c>
      <c r="D9">
        <f>COUNTIFS(Claims!$D$2:$D$147,$A9,Claims!$E$2:$E$147,"error")</f>
        <v/>
      </c>
      <c r="E9">
        <f>COUNTIFS(Claims!$D$2:$D$147,$A9,Claims!$E$2:$E$147,"partly")</f>
        <v/>
      </c>
      <c r="F9">
        <f>COUNTIFS(Claims!$D$2:$D$147,$A9,Claims!$E$2:$E$147,"not in data (true)")</f>
        <v/>
      </c>
      <c r="G9">
        <f>COUNTIFS(Claims!$D$2:$D$147,$A9,Claims!$E$2:$E$147,"not in data (unverified)")</f>
        <v/>
      </c>
    </row>
    <row r="10">
      <c r="A10" t="inlineStr">
        <is>
          <t>scorer detail</t>
        </is>
      </c>
      <c r="B10">
        <f>COUNTIF(Claims!$D$2:$D$147,A10)</f>
        <v/>
      </c>
      <c r="C10">
        <f>COUNTIFS(Claims!$D$2:$D$147,$A10,Claims!$E$2:$E$147,"ok")</f>
        <v/>
      </c>
      <c r="D10">
        <f>COUNTIFS(Claims!$D$2:$D$147,$A10,Claims!$E$2:$E$147,"error")</f>
        <v/>
      </c>
      <c r="E10">
        <f>COUNTIFS(Claims!$D$2:$D$147,$A10,Claims!$E$2:$E$147,"partly")</f>
        <v/>
      </c>
      <c r="F10">
        <f>COUNTIFS(Claims!$D$2:$D$147,$A10,Claims!$E$2:$E$147,"not in data (true)")</f>
        <v/>
      </c>
      <c r="G10">
        <f>COUNTIFS(Claims!$D$2:$D$147,$A10,Claims!$E$2:$E$147,"not in data (unverified)")</f>
        <v/>
      </c>
    </row>
    <row r="11">
      <c r="A11" t="inlineStr">
        <is>
          <t>scorer total</t>
        </is>
      </c>
      <c r="B11">
        <f>COUNTIF(Claims!$D$2:$D$147,A11)</f>
        <v/>
      </c>
      <c r="C11">
        <f>COUNTIFS(Claims!$D$2:$D$147,$A11,Claims!$E$2:$E$147,"ok")</f>
        <v/>
      </c>
      <c r="D11">
        <f>COUNTIFS(Claims!$D$2:$D$147,$A11,Claims!$E$2:$E$147,"error")</f>
        <v/>
      </c>
      <c r="E11">
        <f>COUNTIFS(Claims!$D$2:$D$147,$A11,Claims!$E$2:$E$147,"partly")</f>
        <v/>
      </c>
      <c r="F11">
        <f>COUNTIFS(Claims!$D$2:$D$147,$A11,Claims!$E$2:$E$147,"not in data (true)")</f>
        <v/>
      </c>
      <c r="G11">
        <f>COUNTIFS(Claims!$D$2:$D$147,$A11,Claims!$E$2:$E$147,"not in data (unverified)")</f>
        <v/>
      </c>
    </row>
    <row r="12">
      <c r="A12" t="inlineStr">
        <is>
          <t>stage</t>
        </is>
      </c>
      <c r="B12">
        <f>COUNTIF(Claims!$D$2:$D$147,A12)</f>
        <v/>
      </c>
      <c r="C12">
        <f>COUNTIFS(Claims!$D$2:$D$147,$A12,Claims!$E$2:$E$147,"ok")</f>
        <v/>
      </c>
      <c r="D12">
        <f>COUNTIFS(Claims!$D$2:$D$147,$A12,Claims!$E$2:$E$147,"error")</f>
        <v/>
      </c>
      <c r="E12">
        <f>COUNTIFS(Claims!$D$2:$D$147,$A12,Claims!$E$2:$E$147,"partly")</f>
        <v/>
      </c>
      <c r="F12">
        <f>COUNTIFS(Claims!$D$2:$D$147,$A12,Claims!$E$2:$E$147,"not in data (true)")</f>
        <v/>
      </c>
      <c r="G12">
        <f>COUNTIFS(Claims!$D$2:$D$147,$A12,Claims!$E$2:$E$147,"not in data (unverified)")</f>
        <v/>
      </c>
    </row>
    <row r="13">
      <c r="A13" t="inlineStr">
        <is>
          <t>winner</t>
        </is>
      </c>
      <c r="B13">
        <f>COUNTIF(Claims!$D$2:$D$147,A13)</f>
        <v/>
      </c>
      <c r="C13">
        <f>COUNTIFS(Claims!$D$2:$D$147,$A13,Claims!$E$2:$E$147,"ok")</f>
        <v/>
      </c>
      <c r="D13">
        <f>COUNTIFS(Claims!$D$2:$D$147,$A13,Claims!$E$2:$E$147,"error")</f>
        <v/>
      </c>
      <c r="E13">
        <f>COUNTIFS(Claims!$D$2:$D$147,$A13,Claims!$E$2:$E$147,"partly")</f>
        <v/>
      </c>
      <c r="F13">
        <f>COUNTIFS(Claims!$D$2:$D$147,$A13,Claims!$E$2:$E$147,"not in data (true)")</f>
        <v/>
      </c>
      <c r="G13">
        <f>COUNTIFS(Claims!$D$2:$D$147,$A13,Claims!$E$2:$E$147,"not in data (unverified)")</f>
        <v/>
      </c>
    </row>
    <row r="14">
      <c r="A14" s="7" t="inlineStr">
        <is>
          <t>Total</t>
        </is>
      </c>
      <c r="B14" s="7">
        <f>SUM(B2:B13)</f>
        <v/>
      </c>
      <c r="C14" s="7">
        <f>SUM(C2:C13)</f>
        <v/>
      </c>
      <c r="D14" s="7">
        <f>SUM(D2:D13)</f>
        <v/>
      </c>
      <c r="E14" s="7">
        <f>SUM(E2:E13)</f>
        <v/>
      </c>
      <c r="F14" s="7">
        <f>SUM(F2:F13)</f>
        <v/>
      </c>
      <c r="G14" s="7">
        <f>SUM(G2:G13)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Pilot run 2026-10-28_2207, prompt v1 (condition A), model gpt-6.1-sol. Games 1-9 only: game 10 (Armagh v Kerry) went to extra time and is out of scope.</t>
        </is>
      </c>
    </row>
    <row r="2">
      <c r="A2" t="inlineStr">
        <is>
          <t>Each claim was checked by hand against code/data/processed/pilot_inputs.json (scorers, score and the truth block).</t>
        </is>
      </c>
    </row>
    <row r="3">
      <c r="A3" t="inlineStr">
        <is>
          <t>Verdicts: ok = supported by the input or follows from it; error = contradicts the input or invents something; partly = literally true but misleading; not in data = not in the input, so it comes from the model (true / unverified).</t>
        </is>
      </c>
    </row>
    <row r="4">
      <c r="A4" t="inlineStr">
        <is>
          <t>"From play" claims are counted as ok when the input has no note on the points (the notation only marks frees, marks, 45s and penalties).</t>
        </is>
      </c>
    </row>
    <row r="5">
      <c r="A5" t="inlineStr">
        <is>
          <t>The weekday of each date is not in the input; all nine were computed and match.</t>
        </is>
      </c>
    </row>
    <row r="6">
      <c r="A6" t="inlineStr">
        <is>
          <t>The list is a hand selection of the factual claims of each report, not an automatic extraction. Interpretive phrases ("convincing", "deserved") are not claims.</t>
        </is>
      </c>
    </row>
    <row r="7">
      <c r="A7" t="inlineStr">
        <is>
          <t>One reader only. A second pass over the "ok" rows would reduce the chance of a missed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2026-10-30T10:43:35Z</dcterms:created>
  <dcterms:modified xmlns:dcterms="http://purl.org/dc/terms/" xmlns:xsi="http://www.w3.org/2001/XMLSchema-instance" xsi:type="dcterms:W3CDTF">2026-10-30T10:43:35Z</dcterms:modified>
</cp:coreProperties>
</file>